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ing05097\Downloads\"/>
    </mc:Choice>
  </mc:AlternateContent>
  <xr:revisionPtr revIDLastSave="0" documentId="8_{BD41A1DF-973E-4C73-B9CD-97A0679B3B0A}" xr6:coauthVersionLast="47" xr6:coauthVersionMax="47" xr10:uidLastSave="{00000000-0000-0000-0000-000000000000}"/>
  <bookViews>
    <workbookView xWindow="-120" yWindow="-120" windowWidth="29040" windowHeight="15840" xr2:uid="{610379B5-2BD5-489C-8EC4-39369887FE71}"/>
  </bookViews>
  <sheets>
    <sheet name="貼り付け先" sheetId="1" r:id="rId1"/>
  </sheets>
  <definedNames>
    <definedName name="_xlnm._FilterDatabase" localSheetId="0" hidden="1">貼り付け先!$A$2:$L$2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0" i="1" l="1"/>
  <c r="P89" i="1"/>
  <c r="Q88" i="1"/>
  <c r="R88" i="1" s="1"/>
  <c r="P88" i="1"/>
  <c r="P87" i="1"/>
  <c r="Q86" i="1"/>
  <c r="P86" i="1"/>
  <c r="R86" i="1" s="1"/>
  <c r="P85" i="1"/>
  <c r="P84" i="1"/>
  <c r="Q83" i="1"/>
  <c r="P83" i="1"/>
  <c r="R83" i="1" s="1"/>
  <c r="P82" i="1"/>
  <c r="P81" i="1"/>
  <c r="Q80" i="1"/>
  <c r="R80" i="1" s="1"/>
  <c r="P80" i="1"/>
  <c r="P79" i="1"/>
  <c r="Q78" i="1"/>
  <c r="P78" i="1"/>
  <c r="R78" i="1" s="1"/>
  <c r="P77" i="1"/>
  <c r="P76" i="1"/>
  <c r="Q75" i="1"/>
  <c r="P75" i="1"/>
  <c r="R75" i="1" s="1"/>
  <c r="P74" i="1"/>
  <c r="P73" i="1"/>
  <c r="Q72" i="1"/>
  <c r="R72" i="1" s="1"/>
  <c r="P72" i="1"/>
  <c r="P71" i="1"/>
  <c r="Q70" i="1"/>
  <c r="P70" i="1"/>
  <c r="R70" i="1" s="1"/>
  <c r="P69" i="1"/>
  <c r="P68" i="1"/>
  <c r="Q67" i="1"/>
  <c r="P67" i="1"/>
  <c r="R67" i="1" s="1"/>
  <c r="P66" i="1"/>
  <c r="P65" i="1"/>
  <c r="Q64" i="1"/>
  <c r="R64" i="1" s="1"/>
  <c r="P64" i="1"/>
  <c r="P63" i="1"/>
  <c r="Q62" i="1"/>
  <c r="P62" i="1"/>
  <c r="R62" i="1" s="1"/>
  <c r="P61" i="1"/>
  <c r="P60" i="1"/>
  <c r="Q59" i="1"/>
  <c r="P59" i="1"/>
  <c r="R59" i="1" s="1"/>
  <c r="P58" i="1"/>
  <c r="P57" i="1"/>
  <c r="Q56" i="1"/>
  <c r="R56" i="1" s="1"/>
  <c r="P56" i="1"/>
  <c r="P55" i="1"/>
  <c r="Q54" i="1"/>
  <c r="P54" i="1"/>
  <c r="R54" i="1" s="1"/>
  <c r="P53" i="1"/>
  <c r="P52" i="1"/>
  <c r="Q51" i="1"/>
  <c r="P51" i="1"/>
  <c r="R51" i="1" s="1"/>
  <c r="P50" i="1"/>
  <c r="P49" i="1"/>
  <c r="Q48" i="1"/>
  <c r="R48" i="1" s="1"/>
  <c r="P48" i="1"/>
  <c r="P47" i="1"/>
  <c r="Q46" i="1"/>
  <c r="P46" i="1"/>
  <c r="R46" i="1" s="1"/>
  <c r="P45" i="1"/>
  <c r="P44" i="1"/>
  <c r="Q43" i="1"/>
  <c r="P43" i="1"/>
  <c r="R43" i="1" s="1"/>
  <c r="P42" i="1"/>
  <c r="P41" i="1"/>
  <c r="Q40" i="1"/>
  <c r="R40" i="1" s="1"/>
  <c r="P40" i="1"/>
  <c r="P39" i="1"/>
  <c r="Q38" i="1"/>
  <c r="P38" i="1"/>
  <c r="R38" i="1" s="1"/>
  <c r="P37" i="1"/>
  <c r="P36" i="1"/>
  <c r="Q35" i="1"/>
  <c r="P35" i="1"/>
  <c r="R35" i="1" s="1"/>
  <c r="P34" i="1"/>
  <c r="P33" i="1"/>
  <c r="Q32" i="1"/>
  <c r="R32" i="1" s="1"/>
  <c r="P32" i="1"/>
  <c r="P31" i="1"/>
  <c r="Q30" i="1"/>
  <c r="P30" i="1"/>
  <c r="R30" i="1" s="1"/>
  <c r="P29" i="1"/>
  <c r="P28" i="1"/>
  <c r="Q27" i="1"/>
  <c r="P27" i="1"/>
  <c r="R27" i="1" s="1"/>
  <c r="P26" i="1"/>
  <c r="Q25" i="1"/>
  <c r="P25" i="1"/>
  <c r="R25" i="1" s="1"/>
  <c r="Q24" i="1"/>
  <c r="R24" i="1" s="1"/>
  <c r="P24" i="1"/>
  <c r="P23" i="1"/>
  <c r="Q22" i="1"/>
  <c r="P22" i="1"/>
  <c r="R22" i="1" s="1"/>
  <c r="P21" i="1"/>
  <c r="P20" i="1"/>
  <c r="Q19" i="1"/>
  <c r="P19" i="1"/>
  <c r="R19" i="1" s="1"/>
  <c r="P18" i="1"/>
  <c r="Q17" i="1"/>
  <c r="P17" i="1"/>
  <c r="R17" i="1" s="1"/>
  <c r="Q16" i="1"/>
  <c r="R16" i="1" s="1"/>
  <c r="P16" i="1"/>
  <c r="P15" i="1"/>
  <c r="Q14" i="1"/>
  <c r="P14" i="1"/>
  <c r="R14" i="1" s="1"/>
  <c r="P13" i="1"/>
  <c r="P12" i="1"/>
  <c r="Q11" i="1"/>
  <c r="P11" i="1"/>
  <c r="R11" i="1" s="1"/>
  <c r="P10" i="1"/>
  <c r="Q9" i="1"/>
  <c r="P9" i="1"/>
  <c r="R9" i="1" s="1"/>
  <c r="Q8" i="1"/>
  <c r="R8" i="1" s="1"/>
  <c r="P8" i="1"/>
  <c r="P7" i="1"/>
  <c r="Q6" i="1"/>
  <c r="P6" i="1"/>
  <c r="R6" i="1" s="1"/>
  <c r="P5" i="1"/>
  <c r="P4" i="1"/>
  <c r="Q3" i="1"/>
  <c r="P3" i="1"/>
  <c r="R3" i="1" s="1"/>
  <c r="A1" i="1"/>
  <c r="Q85" i="1" s="1"/>
  <c r="R85" i="1" s="1"/>
  <c r="R68" i="1" l="1"/>
  <c r="R7" i="1"/>
  <c r="R57" i="1"/>
  <c r="R63" i="1"/>
  <c r="R52" i="1"/>
  <c r="R58" i="1"/>
  <c r="R49" i="1"/>
  <c r="R55" i="1"/>
  <c r="R36" i="1"/>
  <c r="R42" i="1"/>
  <c r="R65" i="1"/>
  <c r="R60" i="1"/>
  <c r="R66" i="1"/>
  <c r="R89" i="1"/>
  <c r="Q33" i="1"/>
  <c r="R33" i="1" s="1"/>
  <c r="Q41" i="1"/>
  <c r="R41" i="1" s="1"/>
  <c r="Q65" i="1"/>
  <c r="Q81" i="1"/>
  <c r="R81" i="1" s="1"/>
  <c r="Q89" i="1"/>
  <c r="Q4" i="1"/>
  <c r="R4" i="1" s="1"/>
  <c r="Q12" i="1"/>
  <c r="R12" i="1" s="1"/>
  <c r="Q20" i="1"/>
  <c r="R20" i="1" s="1"/>
  <c r="Q28" i="1"/>
  <c r="R28" i="1" s="1"/>
  <c r="Q36" i="1"/>
  <c r="Q44" i="1"/>
  <c r="R44" i="1" s="1"/>
  <c r="Q52" i="1"/>
  <c r="Q60" i="1"/>
  <c r="Q68" i="1"/>
  <c r="Q76" i="1"/>
  <c r="R76" i="1" s="1"/>
  <c r="Q84" i="1"/>
  <c r="R84" i="1" s="1"/>
  <c r="Q49" i="1"/>
  <c r="Q57" i="1"/>
  <c r="Q73" i="1"/>
  <c r="R73" i="1" s="1"/>
  <c r="Q7" i="1"/>
  <c r="Q15" i="1"/>
  <c r="R15" i="1" s="1"/>
  <c r="Q23" i="1"/>
  <c r="R23" i="1" s="1"/>
  <c r="Q31" i="1"/>
  <c r="R31" i="1" s="1"/>
  <c r="Q39" i="1"/>
  <c r="R39" i="1" s="1"/>
  <c r="Q47" i="1"/>
  <c r="R47" i="1" s="1"/>
  <c r="Q55" i="1"/>
  <c r="Q63" i="1"/>
  <c r="Q71" i="1"/>
  <c r="R71" i="1" s="1"/>
  <c r="Q79" i="1"/>
  <c r="R79" i="1" s="1"/>
  <c r="Q87" i="1"/>
  <c r="R87" i="1" s="1"/>
  <c r="Q10" i="1"/>
  <c r="R10" i="1" s="1"/>
  <c r="Q18" i="1"/>
  <c r="R18" i="1" s="1"/>
  <c r="Q26" i="1"/>
  <c r="R26" i="1" s="1"/>
  <c r="Q34" i="1"/>
  <c r="R34" i="1" s="1"/>
  <c r="Q42" i="1"/>
  <c r="Q50" i="1"/>
  <c r="R50" i="1" s="1"/>
  <c r="Q58" i="1"/>
  <c r="Q66" i="1"/>
  <c r="Q74" i="1"/>
  <c r="R74" i="1" s="1"/>
  <c r="Q82" i="1"/>
  <c r="R82" i="1" s="1"/>
  <c r="Q90" i="1"/>
  <c r="R90" i="1" s="1"/>
  <c r="Q5" i="1"/>
  <c r="R5" i="1" s="1"/>
  <c r="Q13" i="1"/>
  <c r="R13" i="1" s="1"/>
  <c r="Q21" i="1"/>
  <c r="R21" i="1" s="1"/>
  <c r="Q29" i="1"/>
  <c r="R29" i="1" s="1"/>
  <c r="Q37" i="1"/>
  <c r="R37" i="1" s="1"/>
  <c r="Q45" i="1"/>
  <c r="R45" i="1" s="1"/>
  <c r="Q53" i="1"/>
  <c r="R53" i="1" s="1"/>
  <c r="Q61" i="1"/>
  <c r="R61" i="1" s="1"/>
  <c r="Q69" i="1"/>
  <c r="R69" i="1" s="1"/>
  <c r="Q77" i="1"/>
  <c r="R77" i="1" s="1"/>
</calcChain>
</file>

<file path=xl/sharedStrings.xml><?xml version="1.0" encoding="utf-8"?>
<sst xmlns="http://schemas.openxmlformats.org/spreadsheetml/2006/main" count="471" uniqueCount="255">
  <si>
    <t>オープン：1・クローズ：2</t>
    <phoneticPr fontId="2"/>
  </si>
  <si>
    <t>デフォルト：15分</t>
    <rPh sb="8" eb="9">
      <t>フン</t>
    </rPh>
    <phoneticPr fontId="2"/>
  </si>
  <si>
    <t>手入力</t>
    <rPh sb="0" eb="3">
      <t>テニュウリョク</t>
    </rPh>
    <phoneticPr fontId="2"/>
  </si>
  <si>
    <t>年月</t>
  </si>
  <si>
    <t>顧客コード</t>
  </si>
  <si>
    <t>顧客名称</t>
  </si>
  <si>
    <t>オープン・クローズ</t>
  </si>
  <si>
    <t>純売上金額</t>
  </si>
  <si>
    <t>担当営業員コード</t>
  </si>
  <si>
    <t>最終取引日</t>
  </si>
  <si>
    <t>郵便番号</t>
  </si>
  <si>
    <t>都道府県</t>
  </si>
  <si>
    <t>市・区</t>
  </si>
  <si>
    <t>住所1</t>
  </si>
  <si>
    <t>緯度経度</t>
  </si>
  <si>
    <t>作業時間</t>
    <rPh sb="0" eb="4">
      <t>サギョウジカン</t>
    </rPh>
    <phoneticPr fontId="2"/>
  </si>
  <si>
    <t>入場不可時間帯</t>
    <rPh sb="0" eb="4">
      <t>ニュウジョウフカ</t>
    </rPh>
    <rPh sb="4" eb="7">
      <t>ジカンタイ</t>
    </rPh>
    <phoneticPr fontId="1"/>
  </si>
  <si>
    <t>月間稼働日数</t>
    <rPh sb="0" eb="6">
      <t>ゲッカンカドウニッスウ</t>
    </rPh>
    <phoneticPr fontId="2"/>
  </si>
  <si>
    <t>1日あたり</t>
    <rPh sb="1" eb="2">
      <t>ニチ</t>
    </rPh>
    <phoneticPr fontId="2"/>
  </si>
  <si>
    <t>最終取引日からの経過日数</t>
    <rPh sb="0" eb="2">
      <t>サイシュウ</t>
    </rPh>
    <rPh sb="2" eb="5">
      <t>トリヒキビ</t>
    </rPh>
    <rPh sb="8" eb="12">
      <t>ケイカニッスウ</t>
    </rPh>
    <phoneticPr fontId="2"/>
  </si>
  <si>
    <t>売上見込</t>
    <rPh sb="0" eb="2">
      <t>ウリアゲ</t>
    </rPh>
    <rPh sb="2" eb="4">
      <t>ミコミ</t>
    </rPh>
    <phoneticPr fontId="2"/>
  </si>
  <si>
    <t>池田　正巳</t>
  </si>
  <si>
    <t>千葉県</t>
  </si>
  <si>
    <t>市原市</t>
  </si>
  <si>
    <t>君塚３－１３－６</t>
  </si>
  <si>
    <t>35.523094, 140.10582</t>
  </si>
  <si>
    <t>（株）ＮＶＳ　日本通運（株）千葉南支店　ＶＤ</t>
  </si>
  <si>
    <t>八幡浦１－２</t>
  </si>
  <si>
    <t>35.546143, 140.119537</t>
  </si>
  <si>
    <t>ケイ・アンド・エム・インターナショナル（株）　ＶＤ</t>
  </si>
  <si>
    <t>五所１９６６－１　（ミミスイミングクラブ市原）</t>
  </si>
  <si>
    <t>35.534222, 140.111557</t>
  </si>
  <si>
    <t>（株）マルエイ　第９ビルＶＤ</t>
  </si>
  <si>
    <t>五井中央西１－１４－２０</t>
  </si>
  <si>
    <t>35.513737, 140.087875</t>
  </si>
  <si>
    <t>（株）サンフジ企画　市原住宅展示場ＶＤ</t>
  </si>
  <si>
    <t>五井８４３２</t>
  </si>
  <si>
    <t>35.518326, 140.085892</t>
  </si>
  <si>
    <t>（株）大創産業　ダイソー市原青柳店ＶＤ</t>
  </si>
  <si>
    <t>青柳北２－５－６</t>
  </si>
  <si>
    <t>35.509907, 140.063049</t>
  </si>
  <si>
    <t>（株）マルハン市原店　ＶＤ</t>
  </si>
  <si>
    <t>八幡浦１－４－７</t>
  </si>
  <si>
    <t>東洋精糖（株）千葉工場　ＶＤ</t>
  </si>
  <si>
    <t>岩崎西１－６－４１</t>
  </si>
  <si>
    <t>35.524799, 140.070709</t>
  </si>
  <si>
    <t>丸紅建材リース（株）市原工場　ＶＤ</t>
  </si>
  <si>
    <t>八幡海岸１１－１</t>
  </si>
  <si>
    <t>35.541546, 140.104538</t>
  </si>
  <si>
    <t>日本ポリプロ（株）五井工場　ＶＤ</t>
  </si>
  <si>
    <t>五井海岸５－１</t>
  </si>
  <si>
    <t>35.538681, 140.073669</t>
  </si>
  <si>
    <t>医療法人白百合会　市原メンタルクリニック　１階ＶＤ</t>
  </si>
  <si>
    <t>五井中央東１－１６－１２</t>
  </si>
  <si>
    <t>35.509197, 140.092316</t>
  </si>
  <si>
    <t>医療法人白百合会　市原メンタルクリニック　３階ＶＤ</t>
  </si>
  <si>
    <t>（株）市川ハウジング　本社ＶＤ</t>
  </si>
  <si>
    <t>五井中央東２－１１－１</t>
  </si>
  <si>
    <t>35.513245, 140.093079</t>
  </si>
  <si>
    <t>イントロン（株）アシカ薬局　ＶＤ</t>
  </si>
  <si>
    <t>更級２－５－３</t>
  </si>
  <si>
    <t>35.504719, 140.101715</t>
  </si>
  <si>
    <t>東光石油（株）オリックスレンタカー五井駅前店　ＶＤ</t>
  </si>
  <si>
    <t>五井中央東１－１１－２１</t>
  </si>
  <si>
    <t>35.510349, 140.090652</t>
  </si>
  <si>
    <t>（有）浜野興業　ＶＤ</t>
  </si>
  <si>
    <t>八幡浦２－１６</t>
  </si>
  <si>
    <t>35.549324, 140.120163</t>
  </si>
  <si>
    <t>医療法人社団白金会　リハビリテーション病院　さらしなＶＤ</t>
  </si>
  <si>
    <t>更級１－５－３</t>
  </si>
  <si>
    <t>35.509045, 140.096436</t>
  </si>
  <si>
    <t>17:00～</t>
  </si>
  <si>
    <t>丸徳興業（株）千葉中央リサイクルセンター　ＶＤ</t>
  </si>
  <si>
    <t>千葉市中央区</t>
  </si>
  <si>
    <t>村田町８９３－４１９</t>
  </si>
  <si>
    <t>35.551888, 140.117615</t>
  </si>
  <si>
    <t>（有）レインフィールド企画　桃太郎薬局　八幡宿店ＶＤ</t>
  </si>
  <si>
    <t>八幡１２４－１</t>
  </si>
  <si>
    <t>35.530449, 140.117371</t>
  </si>
  <si>
    <t>ＫＨネオケム（株）千葉工場　食堂前ＶＤ</t>
  </si>
  <si>
    <t>五井南海岸１１－１</t>
  </si>
  <si>
    <t>35.521542, 140.051193</t>
  </si>
  <si>
    <t>医療法人社団白金会　リハビリテーション病院　さらしな　３ＦＶＤ</t>
  </si>
  <si>
    <t>寺嶋医院　ＶＤ</t>
  </si>
  <si>
    <t>八幡１３４９－３</t>
  </si>
  <si>
    <t>35.540516, 140.122467</t>
  </si>
  <si>
    <t>久松フーズ（株）久松本店ＶＤ</t>
  </si>
  <si>
    <t>五井中央西３－８－１３</t>
  </si>
  <si>
    <t>35.515961, 140.09079</t>
  </si>
  <si>
    <t>リーチＭＧ　Ａ１３６　ＶＤ</t>
  </si>
  <si>
    <t>五井中央西２－８－１６　（ウルマ宝袋ビル）</t>
  </si>
  <si>
    <t>35.514126, 140.08847</t>
  </si>
  <si>
    <t>（株）ユーゴー　ＴＯＯＬＳ八幡北店ＶＤ</t>
  </si>
  <si>
    <t>八幡北町２－１－１５</t>
  </si>
  <si>
    <t>35.545265, 140.120514</t>
  </si>
  <si>
    <t>医療法人社団白金会　白金整形外科病院　３階休憩室ＶＤ</t>
  </si>
  <si>
    <t>白金町１－７０</t>
  </si>
  <si>
    <t>35.527092, 140.104431</t>
  </si>
  <si>
    <t>医療法人社団白金会　白金整形外科病院　４階休憩室ＶＤ</t>
  </si>
  <si>
    <t>グループホーム友乃家　西五所</t>
  </si>
  <si>
    <t>西五所</t>
  </si>
  <si>
    <t>35.524757, 140.110992</t>
  </si>
  <si>
    <t>うおいち</t>
  </si>
  <si>
    <t>八幡９７２－１</t>
  </si>
  <si>
    <t>35.534836, 140.116714</t>
  </si>
  <si>
    <t>日本化工食品（株）　ＶＤ</t>
  </si>
  <si>
    <t>青柳北１－６－３３</t>
  </si>
  <si>
    <t>35.514008, 140.063873</t>
  </si>
  <si>
    <t>（株）ウルマツアーリングサービス　ＶＤ</t>
  </si>
  <si>
    <t>五井８８２４</t>
  </si>
  <si>
    <t>35.529095, 140.087219</t>
  </si>
  <si>
    <t>（株）マルハン市原店　店内ＶＤ</t>
  </si>
  <si>
    <t>京葉ブランキング工業（株）本社・工場　ＶＤ</t>
  </si>
  <si>
    <t>八幡海岸通７４－２</t>
  </si>
  <si>
    <t>35.545204, 140.112442</t>
  </si>
  <si>
    <t>東京電力パワーグリッド（株）千葉総支社　市原事業所ＶＤ</t>
  </si>
  <si>
    <t>五井東２－１５－１０</t>
  </si>
  <si>
    <t>35.513851, 140.098663</t>
  </si>
  <si>
    <t>富士電機（株）千葉工場　ＦＯＬＳ売店前ＶＤ</t>
  </si>
  <si>
    <t>八幡海岸通７</t>
  </si>
  <si>
    <t>35.54224, 140.098404</t>
  </si>
  <si>
    <t>12:00-13:00</t>
  </si>
  <si>
    <t>西濃運輸株式会社千葉支店プラットホーム</t>
  </si>
  <si>
    <t>五井金杉３－１</t>
  </si>
  <si>
    <t>35.526764, 140.092453</t>
  </si>
  <si>
    <t>富士電機（株）千葉工場　海側Ｂ棟前ＶＤ</t>
  </si>
  <si>
    <t>アクロスプラザ市原更級</t>
  </si>
  <si>
    <t>更級４－２－１</t>
  </si>
  <si>
    <t>35.509975, 140.101288</t>
  </si>
  <si>
    <t>（株）トリドールホールディングス　丸亀製麺　市原青柳ＶＤ</t>
  </si>
  <si>
    <t>青柳北３－１－１０</t>
  </si>
  <si>
    <t>35.507778, 140.061539</t>
  </si>
  <si>
    <t>ニトリ　アクロスプラザ市原更級店　風除室</t>
  </si>
  <si>
    <t>更級４丁目２－１</t>
  </si>
  <si>
    <t>デンカ株式会社　千葉工場</t>
  </si>
  <si>
    <t>五井南海岸６</t>
  </si>
  <si>
    <t>35.527744, 140.050262</t>
  </si>
  <si>
    <t>ＤＩＣ株式会社　千葉工場１</t>
  </si>
  <si>
    <t>八幡海岸通１２</t>
  </si>
  <si>
    <t>35.535992, 140.101105</t>
  </si>
  <si>
    <t>有限会社　鈴典葬祭</t>
  </si>
  <si>
    <t>八幡北１－１－３</t>
  </si>
  <si>
    <t>35.543076, 140.120407</t>
  </si>
  <si>
    <t>日の丸パチンコ　五井店ＶＤ</t>
  </si>
  <si>
    <t>五井中央西２－１－２</t>
  </si>
  <si>
    <t>35.513294, 140.090088</t>
  </si>
  <si>
    <t>１３４９　ウエルシア薬局　市原五所店ＶＤ</t>
  </si>
  <si>
    <t>五所１６６２ー１</t>
  </si>
  <si>
    <t>ゲームチャリオット　五井店</t>
  </si>
  <si>
    <t>五井中央西２ー１ー２</t>
  </si>
  <si>
    <t>星光ＰＭＣ（株）　千葉工場</t>
  </si>
  <si>
    <t>八幡海岸通１２番地</t>
  </si>
  <si>
    <t>小湊鐡道（株）五井駅　ＶＤ</t>
  </si>
  <si>
    <t>五井中央東一丁目１－２</t>
  </si>
  <si>
    <t>35.512024, 140.089066</t>
  </si>
  <si>
    <t>株式会社マルイチ本社工場</t>
  </si>
  <si>
    <t>五井８９１４</t>
  </si>
  <si>
    <t>35.530636, 140.086594</t>
  </si>
  <si>
    <t>合同会社エス・アクセスマネジメント　八幡</t>
  </si>
  <si>
    <t>八幡１２８２－１</t>
  </si>
  <si>
    <t>35.538818, 140.120636</t>
  </si>
  <si>
    <t>合同会社エス・アクセスマネジメント　五井</t>
  </si>
  <si>
    <t>五井中央南１－５－７</t>
  </si>
  <si>
    <t>35.511967, 140.082581</t>
  </si>
  <si>
    <t>豊橋飼料（株）　千葉工場</t>
  </si>
  <si>
    <t>八幡海岸通４４番地</t>
  </si>
  <si>
    <t>35.540733, 140.111984</t>
  </si>
  <si>
    <t>野口司法書士事務所</t>
  </si>
  <si>
    <t>松ヶ島２－１－９</t>
  </si>
  <si>
    <t>35.508018, 140.06662</t>
  </si>
  <si>
    <t>クロワッサンファクトリー五井店</t>
  </si>
  <si>
    <t>五井西４－３－２１</t>
  </si>
  <si>
    <t>35.51709, 140.069534</t>
  </si>
  <si>
    <t>古河電工Ｂ＆Ｌ（株）千葉事業所</t>
  </si>
  <si>
    <t>八幡海岸通６番地</t>
  </si>
  <si>
    <t>柏商事株式会社　ＡＧＣ休憩所</t>
  </si>
  <si>
    <t>五井海岸１０番地</t>
  </si>
  <si>
    <t>株式会社ダイニッセイ</t>
  </si>
  <si>
    <t>五井８８５７</t>
  </si>
  <si>
    <t>35.528812, 140.085831</t>
  </si>
  <si>
    <t>不二サッシ株式会社千葉工場　食堂</t>
  </si>
  <si>
    <t>八幡海岸通１３</t>
  </si>
  <si>
    <t>35.535362, 140.09935</t>
  </si>
  <si>
    <t>ＡＧＣ（株）千葉工場　自販機コーナー</t>
  </si>
  <si>
    <t>五井海岸１０</t>
  </si>
  <si>
    <t>日本ファブテック株式会社千葉臨海工場</t>
  </si>
  <si>
    <t>八幡海岸通１３番１１号</t>
  </si>
  <si>
    <t>（株）しげのや五井店搬入口ＶＤ</t>
  </si>
  <si>
    <t>五井３３８７－５</t>
  </si>
  <si>
    <t>35.5051, 140.098129</t>
  </si>
  <si>
    <t>ＡＧＣ（株）　千葉工場　ルミクラブ前</t>
  </si>
  <si>
    <t>東洋精糖（株）千葉工場　ＶＤ２階</t>
  </si>
  <si>
    <t>岩崎１－６－４１</t>
  </si>
  <si>
    <t>35.52235, 140.075562</t>
  </si>
  <si>
    <t>医療法人芙蓉会五井病院３Ｆ</t>
  </si>
  <si>
    <t>五井５１５５</t>
  </si>
  <si>
    <t>35.519863, 140.088348</t>
  </si>
  <si>
    <t>医療法人芙蓉会五井病院４Ｆ</t>
  </si>
  <si>
    <t>医療法人芙蓉会五井病院３Ｅ病棟</t>
  </si>
  <si>
    <t>35.498055, 140.115555</t>
  </si>
  <si>
    <t>株式会社マサキ工業ＶＤ</t>
  </si>
  <si>
    <t>青柳北３－２－１５</t>
  </si>
  <si>
    <t>35.508389, 140.060684</t>
  </si>
  <si>
    <t>ＡＧＣ株式会社千葉工場中央倉庫</t>
  </si>
  <si>
    <t>コスモ石油千葉製油所厚生棟</t>
  </si>
  <si>
    <t>五井海岸２</t>
  </si>
  <si>
    <t>35.543831, 140.076019</t>
  </si>
  <si>
    <t>宗田マタニティクリニック　ＶＤ</t>
  </si>
  <si>
    <t>根田３２０－７</t>
  </si>
  <si>
    <t>35.50518, 140.106125</t>
  </si>
  <si>
    <t>千葉県企業局　市原営業所ＶＤ</t>
  </si>
  <si>
    <t>五所１４４５－４</t>
  </si>
  <si>
    <t>35.528168, 140.10878</t>
  </si>
  <si>
    <t>ＡＧＣエンジニアリング（株）　ＶＤ</t>
  </si>
  <si>
    <t>八幡海岸通り３８</t>
  </si>
  <si>
    <t>医療法人社団高原会　原村医院ＶＤ</t>
  </si>
  <si>
    <t>玉前７６</t>
  </si>
  <si>
    <t>35.516136, 140.077072</t>
  </si>
  <si>
    <t>（株）伊藤園　市原支店　オモテＶＤ</t>
  </si>
  <si>
    <t>白金町１－３２</t>
  </si>
  <si>
    <t>35.528339, 140.105835</t>
  </si>
  <si>
    <t>田中自動車（株）本社　ＶＤ</t>
  </si>
  <si>
    <t>松ヶ島西１－１－４１</t>
  </si>
  <si>
    <t>35.515823, 140.067245</t>
  </si>
  <si>
    <t>医療法人社団白金会　白金整形外科病院　ピウ白金ＶＤ</t>
  </si>
  <si>
    <t>宗教法人大山ねずの命神示教会　関東第三偉光会館ＶＤ</t>
  </si>
  <si>
    <t>八幡海岸通１９６４－１９</t>
  </si>
  <si>
    <t>35.533619, 140.108231</t>
  </si>
  <si>
    <t>（株）ラックコーポレーション上野輸送　（株）市原事業所ＶＤ</t>
  </si>
  <si>
    <t>青栁北２－６－２２</t>
  </si>
  <si>
    <t>35.501308, 140.061768</t>
  </si>
  <si>
    <t>（株）ゴルフパートナー　市原白金通り店ＶＤ</t>
  </si>
  <si>
    <t>白金町２－１８</t>
  </si>
  <si>
    <t>35.528885, 140.104797</t>
  </si>
  <si>
    <t>（株）せんどう　五井金杉店ＶＤ</t>
  </si>
  <si>
    <t>五井金杉２－１１－１</t>
  </si>
  <si>
    <t>35.526466, 140.095001</t>
  </si>
  <si>
    <t>（株）大丸　ＶＤ</t>
  </si>
  <si>
    <t>飯沼３３３</t>
  </si>
  <si>
    <t>35.505493, 140.07811</t>
  </si>
  <si>
    <t>不二サッシ（株）１４０－０７２２４４試験研究センター二階</t>
  </si>
  <si>
    <t>ほっともっと　市原白金町店ＶＤ</t>
  </si>
  <si>
    <t>白金町３－１</t>
  </si>
  <si>
    <t>35.52652, 140.103516</t>
  </si>
  <si>
    <t>市原不燃物処理（株）　ＶＤ</t>
  </si>
  <si>
    <t>青柳北２－７－１５</t>
  </si>
  <si>
    <t>35.510445, 140.061981</t>
  </si>
  <si>
    <t>三友工業（株）　ＶＤ</t>
  </si>
  <si>
    <t>白金町１－１１</t>
  </si>
  <si>
    <t>35.528477, 140.106384</t>
  </si>
  <si>
    <t>協友工業（株）　ＶＤ</t>
  </si>
  <si>
    <t>青柳北３－５－５</t>
  </si>
  <si>
    <t>35.506493, 140.060684</t>
  </si>
  <si>
    <t>コスモ石油（株）千葉製油所　３６セレＶＤ</t>
  </si>
  <si>
    <t>コスモ石油（株）千葉事業所　３０セレＶＤ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</si>
</sst>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_ "/>
  </numFmts>
  <fonts count="4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4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3" fillId="0" borderId="0" xfId="0" applyFont="1" applyAlignment="1">
      <alignment horizontal="center" vertical="top"/>
    </xf>
    <xf numFmtId="0" fontId="0" fillId="2" borderId="0" xfId="0" applyFill="1">
      <alignment vertical="center"/>
    </xf>
    <xf numFmtId="0" fontId="0" fillId="0" borderId="0" xfId="0" applyAlignment="1"/>
    <xf numFmtId="1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5500B-B2A4-4B95-9990-2F7AD1F130C8}">
  <dimension ref="A1:R90"/>
  <sheetViews>
    <sheetView tabSelected="1" workbookViewId="0">
      <selection activeCell="M10" sqref="M10"/>
    </sheetView>
  </sheetViews>
  <sheetFormatPr defaultRowHeight="13.5" x14ac:dyDescent="0.15"/>
  <cols>
    <col min="1" max="1" width="10.5" bestFit="1" customWidth="1"/>
    <col min="2" max="2" width="11.25" style="3" bestFit="1" customWidth="1"/>
    <col min="3" max="3" width="44.125" customWidth="1"/>
    <col min="4" max="6" width="9" customWidth="1"/>
    <col min="7" max="7" width="11" style="2" customWidth="1"/>
    <col min="8" max="11" width="9" customWidth="1"/>
    <col min="12" max="12" width="21.375" customWidth="1"/>
    <col min="13" max="13" width="11.25" customWidth="1"/>
    <col min="14" max="14" width="13.25" customWidth="1"/>
    <col min="15" max="15" width="14.125" bestFit="1" customWidth="1"/>
    <col min="16" max="16" width="9.25" bestFit="1" customWidth="1"/>
    <col min="17" max="17" width="9.25" customWidth="1"/>
  </cols>
  <sheetData>
    <row r="1" spans="1:18" x14ac:dyDescent="0.15">
      <c r="A1" s="1">
        <f ca="1">TODAY()</f>
        <v>46066</v>
      </c>
      <c r="B1" s="1"/>
      <c r="D1" t="s">
        <v>0</v>
      </c>
      <c r="M1" t="s">
        <v>1</v>
      </c>
      <c r="O1" t="s">
        <v>2</v>
      </c>
    </row>
    <row r="2" spans="1:18" x14ac:dyDescent="0.15">
      <c r="A2" t="s">
        <v>3</v>
      </c>
      <c r="B2" s="3" t="s">
        <v>4</v>
      </c>
      <c r="C2" t="s">
        <v>5</v>
      </c>
      <c r="D2" t="s">
        <v>6</v>
      </c>
      <c r="E2" t="s">
        <v>7</v>
      </c>
      <c r="F2" t="s">
        <v>8</v>
      </c>
      <c r="G2" s="2" t="s">
        <v>9</v>
      </c>
      <c r="H2" t="s">
        <v>10</v>
      </c>
      <c r="I2" t="s">
        <v>11</v>
      </c>
      <c r="J2" t="s">
        <v>12</v>
      </c>
      <c r="K2" t="s">
        <v>13</v>
      </c>
      <c r="L2" s="4" t="s">
        <v>14</v>
      </c>
      <c r="M2" s="4" t="s">
        <v>15</v>
      </c>
      <c r="N2" s="4" t="s">
        <v>16</v>
      </c>
      <c r="O2" s="4" t="s">
        <v>17</v>
      </c>
      <c r="P2" t="s">
        <v>18</v>
      </c>
      <c r="Q2" s="2" t="s">
        <v>19</v>
      </c>
      <c r="R2" t="s">
        <v>20</v>
      </c>
    </row>
    <row r="3" spans="1:18" x14ac:dyDescent="0.15">
      <c r="A3" s="5">
        <v>202601</v>
      </c>
      <c r="B3" s="3">
        <v>100470385</v>
      </c>
      <c r="C3" t="s">
        <v>21</v>
      </c>
      <c r="D3">
        <v>1</v>
      </c>
      <c r="E3">
        <v>26903</v>
      </c>
      <c r="F3">
        <v>14384</v>
      </c>
      <c r="G3" s="2">
        <v>20260202</v>
      </c>
      <c r="H3">
        <v>2900051</v>
      </c>
      <c r="I3" t="s">
        <v>22</v>
      </c>
      <c r="J3" t="s">
        <v>23</v>
      </c>
      <c r="K3" t="s">
        <v>24</v>
      </c>
      <c r="L3" s="6" t="s">
        <v>25</v>
      </c>
      <c r="M3" s="6">
        <v>15</v>
      </c>
      <c r="N3" s="6"/>
      <c r="O3" s="6">
        <v>30</v>
      </c>
      <c r="P3" s="7">
        <f>E3/O3</f>
        <v>896.76666666666665</v>
      </c>
      <c r="Q3" s="7">
        <f ca="1">ABS(DATE(LEFT(G3,4),MID(G3,5,2),RIGHT(G3,2))-$A$1)</f>
        <v>11</v>
      </c>
      <c r="R3">
        <f ca="1">ROUNDUP((P3*Q3),-3)</f>
        <v>10000</v>
      </c>
    </row>
    <row r="4" spans="1:18" x14ac:dyDescent="0.15">
      <c r="A4">
        <v>202601</v>
      </c>
      <c r="B4" s="3">
        <v>100633480</v>
      </c>
      <c r="C4" t="s">
        <v>26</v>
      </c>
      <c r="D4">
        <v>1</v>
      </c>
      <c r="E4">
        <v>10951</v>
      </c>
      <c r="F4">
        <v>14384</v>
      </c>
      <c r="G4" s="2">
        <v>20260206</v>
      </c>
      <c r="H4">
        <v>2900068</v>
      </c>
      <c r="I4" t="s">
        <v>22</v>
      </c>
      <c r="J4" t="s">
        <v>23</v>
      </c>
      <c r="K4" t="s">
        <v>27</v>
      </c>
      <c r="L4" s="6" t="s">
        <v>28</v>
      </c>
      <c r="M4" s="6">
        <v>15</v>
      </c>
      <c r="N4" s="6"/>
      <c r="O4" s="6">
        <v>30</v>
      </c>
      <c r="P4" s="7">
        <f t="shared" ref="P4:P67" si="0">E4/O4</f>
        <v>365.03333333333336</v>
      </c>
      <c r="Q4" s="7">
        <f t="shared" ref="Q4:Q67" ca="1" si="1">ABS(DATE(LEFT(G4,4),MID(G4,5,2),RIGHT(G4,2))-$A$1)</f>
        <v>7</v>
      </c>
      <c r="R4">
        <f t="shared" ref="R4:R67" ca="1" si="2">ROUNDUP((P4*Q4),-3)</f>
        <v>3000</v>
      </c>
    </row>
    <row r="5" spans="1:18" x14ac:dyDescent="0.15">
      <c r="A5">
        <v>202601</v>
      </c>
      <c r="B5" s="3">
        <v>100793224</v>
      </c>
      <c r="C5" t="s">
        <v>29</v>
      </c>
      <c r="D5">
        <v>2</v>
      </c>
      <c r="E5">
        <v>43854</v>
      </c>
      <c r="F5">
        <v>14384</v>
      </c>
      <c r="G5" s="2">
        <v>20260203</v>
      </c>
      <c r="H5">
        <v>2900066</v>
      </c>
      <c r="I5" t="s">
        <v>22</v>
      </c>
      <c r="J5" t="s">
        <v>23</v>
      </c>
      <c r="K5" t="s">
        <v>30</v>
      </c>
      <c r="L5" s="6" t="s">
        <v>31</v>
      </c>
      <c r="M5" s="6">
        <v>15</v>
      </c>
      <c r="N5" s="6"/>
      <c r="O5" s="6">
        <v>25</v>
      </c>
      <c r="P5" s="7">
        <f t="shared" si="0"/>
        <v>1754.16</v>
      </c>
      <c r="Q5" s="7">
        <f t="shared" ca="1" si="1"/>
        <v>10</v>
      </c>
      <c r="R5">
        <f t="shared" ca="1" si="2"/>
        <v>18000</v>
      </c>
    </row>
    <row r="6" spans="1:18" x14ac:dyDescent="0.15">
      <c r="A6">
        <v>202601</v>
      </c>
      <c r="B6" s="3">
        <v>100801268</v>
      </c>
      <c r="C6" t="s">
        <v>32</v>
      </c>
      <c r="D6">
        <v>1</v>
      </c>
      <c r="E6">
        <v>40822</v>
      </c>
      <c r="F6">
        <v>14384</v>
      </c>
      <c r="G6" s="2">
        <v>20260203</v>
      </c>
      <c r="H6">
        <v>2900081</v>
      </c>
      <c r="I6" t="s">
        <v>22</v>
      </c>
      <c r="J6" t="s">
        <v>23</v>
      </c>
      <c r="K6" t="s">
        <v>33</v>
      </c>
      <c r="L6" s="6" t="s">
        <v>34</v>
      </c>
      <c r="M6" s="6">
        <v>15</v>
      </c>
      <c r="N6" s="6"/>
      <c r="O6" s="6">
        <v>30</v>
      </c>
      <c r="P6" s="7">
        <f t="shared" si="0"/>
        <v>1360.7333333333333</v>
      </c>
      <c r="Q6" s="7">
        <f t="shared" ca="1" si="1"/>
        <v>10</v>
      </c>
      <c r="R6">
        <f t="shared" ca="1" si="2"/>
        <v>14000</v>
      </c>
    </row>
    <row r="7" spans="1:18" x14ac:dyDescent="0.15">
      <c r="A7">
        <v>202601</v>
      </c>
      <c r="B7" s="3">
        <v>100899182</v>
      </c>
      <c r="C7" t="s">
        <v>35</v>
      </c>
      <c r="D7">
        <v>2</v>
      </c>
      <c r="E7">
        <v>26459</v>
      </c>
      <c r="F7">
        <v>14384</v>
      </c>
      <c r="G7" s="2">
        <v>20260210</v>
      </c>
      <c r="H7">
        <v>2900056</v>
      </c>
      <c r="I7" t="s">
        <v>22</v>
      </c>
      <c r="J7" t="s">
        <v>23</v>
      </c>
      <c r="K7" t="s">
        <v>36</v>
      </c>
      <c r="L7" s="6" t="s">
        <v>37</v>
      </c>
      <c r="M7" s="6">
        <v>15</v>
      </c>
      <c r="N7" s="6"/>
      <c r="O7" s="6">
        <v>25</v>
      </c>
      <c r="P7" s="7">
        <f t="shared" si="0"/>
        <v>1058.3599999999999</v>
      </c>
      <c r="Q7" s="7">
        <f t="shared" ca="1" si="1"/>
        <v>3</v>
      </c>
      <c r="R7">
        <f t="shared" ca="1" si="2"/>
        <v>4000</v>
      </c>
    </row>
    <row r="8" spans="1:18" x14ac:dyDescent="0.15">
      <c r="A8">
        <v>202601</v>
      </c>
      <c r="B8" s="3">
        <v>101115565</v>
      </c>
      <c r="C8" t="s">
        <v>38</v>
      </c>
      <c r="D8">
        <v>2</v>
      </c>
      <c r="E8">
        <v>27711</v>
      </c>
      <c r="F8">
        <v>14384</v>
      </c>
      <c r="G8" s="2">
        <v>20260205</v>
      </c>
      <c r="H8">
        <v>2990102</v>
      </c>
      <c r="I8" t="s">
        <v>22</v>
      </c>
      <c r="J8" t="s">
        <v>23</v>
      </c>
      <c r="K8" t="s">
        <v>39</v>
      </c>
      <c r="L8" s="6" t="s">
        <v>40</v>
      </c>
      <c r="M8" s="6">
        <v>15</v>
      </c>
      <c r="N8" s="6"/>
      <c r="O8" s="6">
        <v>30</v>
      </c>
      <c r="P8" s="7">
        <f t="shared" si="0"/>
        <v>923.7</v>
      </c>
      <c r="Q8" s="7">
        <f t="shared" ca="1" si="1"/>
        <v>8</v>
      </c>
      <c r="R8">
        <f t="shared" ca="1" si="2"/>
        <v>8000</v>
      </c>
    </row>
    <row r="9" spans="1:18" x14ac:dyDescent="0.15">
      <c r="A9">
        <v>202601</v>
      </c>
      <c r="B9" s="3">
        <v>101137068</v>
      </c>
      <c r="C9" t="s">
        <v>41</v>
      </c>
      <c r="D9">
        <v>2</v>
      </c>
      <c r="E9">
        <v>175365</v>
      </c>
      <c r="F9">
        <v>14384</v>
      </c>
      <c r="G9" s="2">
        <v>20260209</v>
      </c>
      <c r="H9">
        <v>2900068</v>
      </c>
      <c r="I9" t="s">
        <v>22</v>
      </c>
      <c r="J9" t="s">
        <v>23</v>
      </c>
      <c r="K9" t="s">
        <v>42</v>
      </c>
      <c r="L9" s="6" t="s">
        <v>28</v>
      </c>
      <c r="M9" s="6">
        <v>15</v>
      </c>
      <c r="N9" s="6"/>
      <c r="O9" s="6">
        <v>30</v>
      </c>
      <c r="P9" s="7">
        <f t="shared" si="0"/>
        <v>5845.5</v>
      </c>
      <c r="Q9" s="7">
        <f t="shared" ca="1" si="1"/>
        <v>4</v>
      </c>
      <c r="R9">
        <f t="shared" ca="1" si="2"/>
        <v>24000</v>
      </c>
    </row>
    <row r="10" spans="1:18" x14ac:dyDescent="0.15">
      <c r="A10">
        <v>202601</v>
      </c>
      <c r="B10" s="3">
        <v>101547030</v>
      </c>
      <c r="C10" t="s">
        <v>43</v>
      </c>
      <c r="D10">
        <v>1</v>
      </c>
      <c r="E10">
        <v>39971</v>
      </c>
      <c r="F10">
        <v>14384</v>
      </c>
      <c r="G10" s="2">
        <v>20260205</v>
      </c>
      <c r="H10">
        <v>2900046</v>
      </c>
      <c r="I10" t="s">
        <v>22</v>
      </c>
      <c r="J10" t="s">
        <v>23</v>
      </c>
      <c r="K10" t="s">
        <v>44</v>
      </c>
      <c r="L10" s="6" t="s">
        <v>45</v>
      </c>
      <c r="M10" s="6">
        <v>15</v>
      </c>
      <c r="N10" s="6"/>
      <c r="O10" s="6">
        <v>25</v>
      </c>
      <c r="P10" s="7">
        <f t="shared" si="0"/>
        <v>1598.84</v>
      </c>
      <c r="Q10" s="7">
        <f t="shared" ca="1" si="1"/>
        <v>8</v>
      </c>
      <c r="R10">
        <f t="shared" ca="1" si="2"/>
        <v>13000</v>
      </c>
    </row>
    <row r="11" spans="1:18" x14ac:dyDescent="0.15">
      <c r="A11">
        <v>202601</v>
      </c>
      <c r="B11" s="3">
        <v>101570276</v>
      </c>
      <c r="C11" t="s">
        <v>46</v>
      </c>
      <c r="D11">
        <v>1</v>
      </c>
      <c r="E11">
        <v>58561</v>
      </c>
      <c r="F11">
        <v>14384</v>
      </c>
      <c r="G11" s="2">
        <v>20260206</v>
      </c>
      <c r="H11">
        <v>2900067</v>
      </c>
      <c r="I11" t="s">
        <v>22</v>
      </c>
      <c r="J11" t="s">
        <v>23</v>
      </c>
      <c r="K11" t="s">
        <v>47</v>
      </c>
      <c r="L11" s="6" t="s">
        <v>48</v>
      </c>
      <c r="M11" s="6">
        <v>15</v>
      </c>
      <c r="N11" s="6"/>
      <c r="O11" s="6">
        <v>25</v>
      </c>
      <c r="P11" s="7">
        <f t="shared" si="0"/>
        <v>2342.44</v>
      </c>
      <c r="Q11" s="7">
        <f t="shared" ca="1" si="1"/>
        <v>7</v>
      </c>
      <c r="R11">
        <f t="shared" ca="1" si="2"/>
        <v>17000</v>
      </c>
    </row>
    <row r="12" spans="1:18" x14ac:dyDescent="0.15">
      <c r="A12">
        <v>202601</v>
      </c>
      <c r="B12" s="3">
        <v>101602184</v>
      </c>
      <c r="C12" t="s">
        <v>49</v>
      </c>
      <c r="D12">
        <v>1</v>
      </c>
      <c r="E12">
        <v>14968</v>
      </c>
      <c r="F12">
        <v>14384</v>
      </c>
      <c r="G12" s="2">
        <v>20260123</v>
      </c>
      <c r="H12">
        <v>2908551</v>
      </c>
      <c r="I12" t="s">
        <v>22</v>
      </c>
      <c r="J12" t="s">
        <v>23</v>
      </c>
      <c r="K12" t="s">
        <v>50</v>
      </c>
      <c r="L12" s="6" t="s">
        <v>51</v>
      </c>
      <c r="M12" s="6">
        <v>15</v>
      </c>
      <c r="N12" s="6"/>
      <c r="O12" s="6">
        <v>25</v>
      </c>
      <c r="P12" s="7">
        <f t="shared" si="0"/>
        <v>598.72</v>
      </c>
      <c r="Q12" s="7">
        <f t="shared" ca="1" si="1"/>
        <v>21</v>
      </c>
      <c r="R12">
        <f t="shared" ca="1" si="2"/>
        <v>13000</v>
      </c>
    </row>
    <row r="13" spans="1:18" x14ac:dyDescent="0.15">
      <c r="A13">
        <v>202601</v>
      </c>
      <c r="B13" s="3">
        <v>101779622</v>
      </c>
      <c r="C13" t="s">
        <v>52</v>
      </c>
      <c r="D13">
        <v>1</v>
      </c>
      <c r="E13">
        <v>20522</v>
      </c>
      <c r="F13">
        <v>14384</v>
      </c>
      <c r="G13" s="2">
        <v>20260129</v>
      </c>
      <c r="H13">
        <v>2900054</v>
      </c>
      <c r="I13" t="s">
        <v>22</v>
      </c>
      <c r="J13" t="s">
        <v>23</v>
      </c>
      <c r="K13" t="s">
        <v>53</v>
      </c>
      <c r="L13" s="6" t="s">
        <v>54</v>
      </c>
      <c r="M13" s="6">
        <v>15</v>
      </c>
      <c r="N13" s="6"/>
      <c r="O13" s="6">
        <v>25</v>
      </c>
      <c r="P13" s="7">
        <f t="shared" si="0"/>
        <v>820.88</v>
      </c>
      <c r="Q13" s="7">
        <f t="shared" ca="1" si="1"/>
        <v>15</v>
      </c>
      <c r="R13">
        <f t="shared" ca="1" si="2"/>
        <v>13000</v>
      </c>
    </row>
    <row r="14" spans="1:18" x14ac:dyDescent="0.15">
      <c r="A14">
        <v>202601</v>
      </c>
      <c r="B14" s="3">
        <v>101779662</v>
      </c>
      <c r="C14" t="s">
        <v>55</v>
      </c>
      <c r="D14">
        <v>1</v>
      </c>
      <c r="E14">
        <v>26214</v>
      </c>
      <c r="F14">
        <v>14384</v>
      </c>
      <c r="G14" s="2">
        <v>20260129</v>
      </c>
      <c r="H14">
        <v>2900054</v>
      </c>
      <c r="I14" t="s">
        <v>22</v>
      </c>
      <c r="J14" t="s">
        <v>23</v>
      </c>
      <c r="K14" t="s">
        <v>53</v>
      </c>
      <c r="L14" s="6" t="s">
        <v>54</v>
      </c>
      <c r="M14" s="6">
        <v>15</v>
      </c>
      <c r="N14" s="6"/>
      <c r="O14" s="6">
        <v>25</v>
      </c>
      <c r="P14" s="7">
        <f t="shared" si="0"/>
        <v>1048.56</v>
      </c>
      <c r="Q14" s="7">
        <f t="shared" ca="1" si="1"/>
        <v>15</v>
      </c>
      <c r="R14">
        <f t="shared" ca="1" si="2"/>
        <v>16000</v>
      </c>
    </row>
    <row r="15" spans="1:18" x14ac:dyDescent="0.15">
      <c r="A15">
        <v>202601</v>
      </c>
      <c r="B15" s="3">
        <v>102003590</v>
      </c>
      <c r="C15" t="s">
        <v>56</v>
      </c>
      <c r="D15">
        <v>1</v>
      </c>
      <c r="E15">
        <v>25407</v>
      </c>
      <c r="F15">
        <v>14384</v>
      </c>
      <c r="G15" s="2">
        <v>20260210</v>
      </c>
      <c r="H15">
        <v>2900054</v>
      </c>
      <c r="I15" t="s">
        <v>22</v>
      </c>
      <c r="J15" t="s">
        <v>23</v>
      </c>
      <c r="K15" t="s">
        <v>57</v>
      </c>
      <c r="L15" s="6" t="s">
        <v>58</v>
      </c>
      <c r="M15" s="6">
        <v>15</v>
      </c>
      <c r="N15" s="6"/>
      <c r="O15" s="6">
        <v>20</v>
      </c>
      <c r="P15" s="7">
        <f t="shared" si="0"/>
        <v>1270.3499999999999</v>
      </c>
      <c r="Q15" s="7">
        <f t="shared" ca="1" si="1"/>
        <v>3</v>
      </c>
      <c r="R15">
        <f t="shared" ca="1" si="2"/>
        <v>4000</v>
      </c>
    </row>
    <row r="16" spans="1:18" x14ac:dyDescent="0.15">
      <c r="A16">
        <v>202601</v>
      </c>
      <c r="B16" s="3">
        <v>102295648</v>
      </c>
      <c r="C16" t="s">
        <v>59</v>
      </c>
      <c r="D16">
        <v>2</v>
      </c>
      <c r="E16">
        <v>13817</v>
      </c>
      <c r="F16">
        <v>14384</v>
      </c>
      <c r="G16" s="2">
        <v>20260210</v>
      </c>
      <c r="H16">
        <v>2900050</v>
      </c>
      <c r="I16" t="s">
        <v>22</v>
      </c>
      <c r="J16" t="s">
        <v>23</v>
      </c>
      <c r="K16" t="s">
        <v>60</v>
      </c>
      <c r="L16" s="6" t="s">
        <v>61</v>
      </c>
      <c r="M16" s="6">
        <v>15</v>
      </c>
      <c r="N16" s="6"/>
      <c r="O16" s="6">
        <v>25</v>
      </c>
      <c r="P16" s="7">
        <f t="shared" si="0"/>
        <v>552.67999999999995</v>
      </c>
      <c r="Q16" s="7">
        <f t="shared" ca="1" si="1"/>
        <v>3</v>
      </c>
      <c r="R16">
        <f t="shared" ca="1" si="2"/>
        <v>2000</v>
      </c>
    </row>
    <row r="17" spans="1:18" x14ac:dyDescent="0.15">
      <c r="A17">
        <v>202601</v>
      </c>
      <c r="B17" s="3">
        <v>102603968</v>
      </c>
      <c r="C17" t="s">
        <v>62</v>
      </c>
      <c r="D17">
        <v>2</v>
      </c>
      <c r="E17">
        <v>65739</v>
      </c>
      <c r="F17">
        <v>14384</v>
      </c>
      <c r="G17" s="2">
        <v>20260210</v>
      </c>
      <c r="H17">
        <v>2900054</v>
      </c>
      <c r="I17" t="s">
        <v>22</v>
      </c>
      <c r="J17" t="s">
        <v>23</v>
      </c>
      <c r="K17" t="s">
        <v>63</v>
      </c>
      <c r="L17" s="6" t="s">
        <v>64</v>
      </c>
      <c r="M17" s="6">
        <v>15</v>
      </c>
      <c r="N17" s="6"/>
      <c r="O17" s="6">
        <v>30</v>
      </c>
      <c r="P17" s="7">
        <f t="shared" si="0"/>
        <v>2191.3000000000002</v>
      </c>
      <c r="Q17" s="7">
        <f t="shared" ca="1" si="1"/>
        <v>3</v>
      </c>
      <c r="R17">
        <f t="shared" ca="1" si="2"/>
        <v>7000</v>
      </c>
    </row>
    <row r="18" spans="1:18" x14ac:dyDescent="0.15">
      <c r="A18">
        <v>202601</v>
      </c>
      <c r="B18" s="3">
        <v>102654828</v>
      </c>
      <c r="C18" t="s">
        <v>65</v>
      </c>
      <c r="D18">
        <v>1</v>
      </c>
      <c r="E18">
        <v>23803</v>
      </c>
      <c r="F18">
        <v>14384</v>
      </c>
      <c r="G18" s="2">
        <v>20260130</v>
      </c>
      <c r="H18">
        <v>2900068</v>
      </c>
      <c r="I18" t="s">
        <v>22</v>
      </c>
      <c r="J18" t="s">
        <v>23</v>
      </c>
      <c r="K18" t="s">
        <v>66</v>
      </c>
      <c r="L18" s="6" t="s">
        <v>67</v>
      </c>
      <c r="M18" s="6">
        <v>15</v>
      </c>
      <c r="N18" s="6"/>
      <c r="O18" s="6">
        <v>25</v>
      </c>
      <c r="P18" s="7">
        <f t="shared" si="0"/>
        <v>952.12</v>
      </c>
      <c r="Q18" s="7">
        <f t="shared" ca="1" si="1"/>
        <v>14</v>
      </c>
      <c r="R18">
        <f t="shared" ca="1" si="2"/>
        <v>14000</v>
      </c>
    </row>
    <row r="19" spans="1:18" x14ac:dyDescent="0.15">
      <c r="A19">
        <v>202601</v>
      </c>
      <c r="B19" s="3">
        <v>102761869</v>
      </c>
      <c r="C19" t="s">
        <v>68</v>
      </c>
      <c r="D19">
        <v>1</v>
      </c>
      <c r="E19">
        <v>31808</v>
      </c>
      <c r="F19">
        <v>14384</v>
      </c>
      <c r="G19" s="2">
        <v>20260204</v>
      </c>
      <c r="H19">
        <v>2900050</v>
      </c>
      <c r="I19" t="s">
        <v>22</v>
      </c>
      <c r="J19" t="s">
        <v>23</v>
      </c>
      <c r="K19" t="s">
        <v>69</v>
      </c>
      <c r="L19" s="6" t="s">
        <v>70</v>
      </c>
      <c r="M19" s="6">
        <v>15</v>
      </c>
      <c r="N19" s="6" t="s">
        <v>71</v>
      </c>
      <c r="O19" s="6">
        <v>25</v>
      </c>
      <c r="P19" s="7">
        <f t="shared" si="0"/>
        <v>1272.32</v>
      </c>
      <c r="Q19" s="7">
        <f t="shared" ca="1" si="1"/>
        <v>9</v>
      </c>
      <c r="R19">
        <f t="shared" ca="1" si="2"/>
        <v>12000</v>
      </c>
    </row>
    <row r="20" spans="1:18" x14ac:dyDescent="0.15">
      <c r="A20">
        <v>202601</v>
      </c>
      <c r="B20" s="3">
        <v>102787212</v>
      </c>
      <c r="C20" t="s">
        <v>72</v>
      </c>
      <c r="D20">
        <v>1</v>
      </c>
      <c r="E20">
        <v>19197</v>
      </c>
      <c r="F20">
        <v>14384</v>
      </c>
      <c r="G20" s="2">
        <v>20260206</v>
      </c>
      <c r="H20">
        <v>2600825</v>
      </c>
      <c r="I20" t="s">
        <v>22</v>
      </c>
      <c r="J20" t="s">
        <v>73</v>
      </c>
      <c r="K20" t="s">
        <v>74</v>
      </c>
      <c r="L20" s="6" t="s">
        <v>75</v>
      </c>
      <c r="M20" s="6">
        <v>15</v>
      </c>
      <c r="N20" s="6"/>
      <c r="O20" s="6">
        <v>25</v>
      </c>
      <c r="P20" s="7">
        <f t="shared" si="0"/>
        <v>767.88</v>
      </c>
      <c r="Q20" s="7">
        <f t="shared" ca="1" si="1"/>
        <v>7</v>
      </c>
      <c r="R20">
        <f t="shared" ca="1" si="2"/>
        <v>6000</v>
      </c>
    </row>
    <row r="21" spans="1:18" x14ac:dyDescent="0.15">
      <c r="A21">
        <v>202601</v>
      </c>
      <c r="B21" s="3">
        <v>102799314</v>
      </c>
      <c r="C21" t="s">
        <v>76</v>
      </c>
      <c r="D21">
        <v>2</v>
      </c>
      <c r="E21">
        <v>11688</v>
      </c>
      <c r="F21">
        <v>14384</v>
      </c>
      <c r="G21" s="2">
        <v>20260205</v>
      </c>
      <c r="H21">
        <v>2900062</v>
      </c>
      <c r="I21" t="s">
        <v>22</v>
      </c>
      <c r="J21" t="s">
        <v>23</v>
      </c>
      <c r="K21" t="s">
        <v>77</v>
      </c>
      <c r="L21" s="6" t="s">
        <v>78</v>
      </c>
      <c r="M21" s="6">
        <v>15</v>
      </c>
      <c r="N21" s="6"/>
      <c r="O21" s="6">
        <v>25</v>
      </c>
      <c r="P21" s="7">
        <f t="shared" si="0"/>
        <v>467.52</v>
      </c>
      <c r="Q21" s="7">
        <f t="shared" ca="1" si="1"/>
        <v>8</v>
      </c>
      <c r="R21">
        <f t="shared" ca="1" si="2"/>
        <v>4000</v>
      </c>
    </row>
    <row r="22" spans="1:18" x14ac:dyDescent="0.15">
      <c r="A22">
        <v>202601</v>
      </c>
      <c r="B22" s="3">
        <v>102902829</v>
      </c>
      <c r="C22" t="s">
        <v>79</v>
      </c>
      <c r="D22">
        <v>1</v>
      </c>
      <c r="E22">
        <v>24767</v>
      </c>
      <c r="F22">
        <v>14384</v>
      </c>
      <c r="G22" s="2">
        <v>20260129</v>
      </c>
      <c r="H22">
        <v>2900045</v>
      </c>
      <c r="I22" t="s">
        <v>22</v>
      </c>
      <c r="J22" t="s">
        <v>23</v>
      </c>
      <c r="K22" t="s">
        <v>80</v>
      </c>
      <c r="L22" s="6" t="s">
        <v>81</v>
      </c>
      <c r="M22" s="6">
        <v>15</v>
      </c>
      <c r="N22" s="6"/>
      <c r="O22" s="6">
        <v>25</v>
      </c>
      <c r="P22" s="7">
        <f t="shared" si="0"/>
        <v>990.68</v>
      </c>
      <c r="Q22" s="7">
        <f t="shared" ca="1" si="1"/>
        <v>15</v>
      </c>
      <c r="R22">
        <f t="shared" ca="1" si="2"/>
        <v>15000</v>
      </c>
    </row>
    <row r="23" spans="1:18" x14ac:dyDescent="0.15">
      <c r="A23">
        <v>202601</v>
      </c>
      <c r="B23" s="3">
        <v>103129235</v>
      </c>
      <c r="C23" t="s">
        <v>82</v>
      </c>
      <c r="D23">
        <v>1</v>
      </c>
      <c r="E23">
        <v>50847</v>
      </c>
      <c r="F23">
        <v>14384</v>
      </c>
      <c r="G23" s="2">
        <v>20260204</v>
      </c>
      <c r="H23">
        <v>2900050</v>
      </c>
      <c r="I23" t="s">
        <v>22</v>
      </c>
      <c r="J23" t="s">
        <v>23</v>
      </c>
      <c r="K23" t="s">
        <v>69</v>
      </c>
      <c r="L23" s="6" t="s">
        <v>70</v>
      </c>
      <c r="M23" s="6">
        <v>15</v>
      </c>
      <c r="N23" s="6" t="s">
        <v>71</v>
      </c>
      <c r="O23" s="6">
        <v>30</v>
      </c>
      <c r="P23" s="7">
        <f t="shared" si="0"/>
        <v>1694.9</v>
      </c>
      <c r="Q23" s="7">
        <f t="shared" ca="1" si="1"/>
        <v>9</v>
      </c>
      <c r="R23">
        <f t="shared" ca="1" si="2"/>
        <v>16000</v>
      </c>
    </row>
    <row r="24" spans="1:18" x14ac:dyDescent="0.15">
      <c r="A24">
        <v>202601</v>
      </c>
      <c r="B24" s="3">
        <v>103365772</v>
      </c>
      <c r="C24" t="s">
        <v>83</v>
      </c>
      <c r="D24">
        <v>2</v>
      </c>
      <c r="E24">
        <v>21976</v>
      </c>
      <c r="F24">
        <v>14384</v>
      </c>
      <c r="G24" s="2">
        <v>20260209</v>
      </c>
      <c r="H24">
        <v>2900062</v>
      </c>
      <c r="I24" t="s">
        <v>22</v>
      </c>
      <c r="J24" t="s">
        <v>23</v>
      </c>
      <c r="K24" t="s">
        <v>84</v>
      </c>
      <c r="L24" s="6" t="s">
        <v>85</v>
      </c>
      <c r="M24" s="6">
        <v>15</v>
      </c>
      <c r="N24" s="6"/>
      <c r="O24" s="6">
        <v>25</v>
      </c>
      <c r="P24" s="7">
        <f t="shared" si="0"/>
        <v>879.04</v>
      </c>
      <c r="Q24" s="7">
        <f t="shared" ca="1" si="1"/>
        <v>4</v>
      </c>
      <c r="R24">
        <f t="shared" ca="1" si="2"/>
        <v>4000</v>
      </c>
    </row>
    <row r="25" spans="1:18" x14ac:dyDescent="0.15">
      <c r="A25">
        <v>202601</v>
      </c>
      <c r="B25" s="3">
        <v>103645222</v>
      </c>
      <c r="C25" t="s">
        <v>86</v>
      </c>
      <c r="D25">
        <v>2</v>
      </c>
      <c r="E25">
        <v>7767</v>
      </c>
      <c r="F25">
        <v>14384</v>
      </c>
      <c r="G25" s="2">
        <v>20260203</v>
      </c>
      <c r="H25">
        <v>2900081</v>
      </c>
      <c r="I25" t="s">
        <v>22</v>
      </c>
      <c r="J25" t="s">
        <v>23</v>
      </c>
      <c r="K25" t="s">
        <v>87</v>
      </c>
      <c r="L25" s="6" t="s">
        <v>88</v>
      </c>
      <c r="M25" s="6">
        <v>15</v>
      </c>
      <c r="N25" s="6"/>
      <c r="O25" s="6">
        <v>25</v>
      </c>
      <c r="P25" s="7">
        <f t="shared" si="0"/>
        <v>310.68</v>
      </c>
      <c r="Q25" s="7">
        <f t="shared" ca="1" si="1"/>
        <v>10</v>
      </c>
      <c r="R25">
        <f t="shared" ca="1" si="2"/>
        <v>4000</v>
      </c>
    </row>
    <row r="26" spans="1:18" x14ac:dyDescent="0.15">
      <c r="A26">
        <v>202601</v>
      </c>
      <c r="B26" s="3">
        <v>103906129</v>
      </c>
      <c r="C26" t="s">
        <v>89</v>
      </c>
      <c r="D26">
        <v>1</v>
      </c>
      <c r="E26">
        <v>17700</v>
      </c>
      <c r="F26">
        <v>14384</v>
      </c>
      <c r="G26" s="2">
        <v>20260203</v>
      </c>
      <c r="H26">
        <v>2900081</v>
      </c>
      <c r="I26" t="s">
        <v>22</v>
      </c>
      <c r="J26" t="s">
        <v>23</v>
      </c>
      <c r="K26" t="s">
        <v>90</v>
      </c>
      <c r="L26" s="6" t="s">
        <v>91</v>
      </c>
      <c r="M26" s="6">
        <v>15</v>
      </c>
      <c r="N26" s="6"/>
      <c r="O26" s="6">
        <v>30</v>
      </c>
      <c r="P26" s="7">
        <f t="shared" si="0"/>
        <v>590</v>
      </c>
      <c r="Q26" s="7">
        <f t="shared" ca="1" si="1"/>
        <v>10</v>
      </c>
      <c r="R26">
        <f t="shared" ca="1" si="2"/>
        <v>6000</v>
      </c>
    </row>
    <row r="27" spans="1:18" x14ac:dyDescent="0.15">
      <c r="A27">
        <v>202601</v>
      </c>
      <c r="B27" s="3">
        <v>104120685</v>
      </c>
      <c r="C27" t="s">
        <v>92</v>
      </c>
      <c r="D27">
        <v>1</v>
      </c>
      <c r="E27">
        <v>11468</v>
      </c>
      <c r="F27">
        <v>14384</v>
      </c>
      <c r="G27" s="2">
        <v>20260206</v>
      </c>
      <c r="H27">
        <v>2900069</v>
      </c>
      <c r="I27" t="s">
        <v>22</v>
      </c>
      <c r="J27" t="s">
        <v>23</v>
      </c>
      <c r="K27" t="s">
        <v>93</v>
      </c>
      <c r="L27" s="6" t="s">
        <v>94</v>
      </c>
      <c r="M27" s="6">
        <v>15</v>
      </c>
      <c r="N27" s="6"/>
      <c r="O27" s="6">
        <v>30</v>
      </c>
      <c r="P27" s="7">
        <f t="shared" si="0"/>
        <v>382.26666666666665</v>
      </c>
      <c r="Q27" s="7">
        <f t="shared" ca="1" si="1"/>
        <v>7</v>
      </c>
      <c r="R27">
        <f t="shared" ca="1" si="2"/>
        <v>3000</v>
      </c>
    </row>
    <row r="28" spans="1:18" x14ac:dyDescent="0.15">
      <c r="A28">
        <v>202601</v>
      </c>
      <c r="B28" s="3">
        <v>104201246</v>
      </c>
      <c r="C28" t="s">
        <v>95</v>
      </c>
      <c r="D28">
        <v>2</v>
      </c>
      <c r="E28">
        <v>45551</v>
      </c>
      <c r="F28">
        <v>14384</v>
      </c>
      <c r="G28" s="2">
        <v>20260204</v>
      </c>
      <c r="H28">
        <v>2900059</v>
      </c>
      <c r="I28" t="s">
        <v>22</v>
      </c>
      <c r="J28" t="s">
        <v>23</v>
      </c>
      <c r="K28" t="s">
        <v>96</v>
      </c>
      <c r="L28" s="6" t="s">
        <v>97</v>
      </c>
      <c r="M28" s="6">
        <v>15</v>
      </c>
      <c r="N28" s="6"/>
      <c r="O28" s="6">
        <v>25</v>
      </c>
      <c r="P28" s="7">
        <f t="shared" si="0"/>
        <v>1822.04</v>
      </c>
      <c r="Q28" s="7">
        <f t="shared" ca="1" si="1"/>
        <v>9</v>
      </c>
      <c r="R28">
        <f t="shared" ca="1" si="2"/>
        <v>17000</v>
      </c>
    </row>
    <row r="29" spans="1:18" x14ac:dyDescent="0.15">
      <c r="A29">
        <v>202601</v>
      </c>
      <c r="B29" s="3">
        <v>104232771</v>
      </c>
      <c r="C29" t="s">
        <v>98</v>
      </c>
      <c r="D29">
        <v>2</v>
      </c>
      <c r="E29">
        <v>40896</v>
      </c>
      <c r="F29">
        <v>14384</v>
      </c>
      <c r="G29" s="2">
        <v>20260204</v>
      </c>
      <c r="H29">
        <v>2900059</v>
      </c>
      <c r="I29" t="s">
        <v>22</v>
      </c>
      <c r="J29" t="s">
        <v>23</v>
      </c>
      <c r="K29" t="s">
        <v>96</v>
      </c>
      <c r="L29" s="6" t="s">
        <v>97</v>
      </c>
      <c r="M29" s="6">
        <v>15</v>
      </c>
      <c r="N29" s="6"/>
      <c r="O29" s="6">
        <v>25</v>
      </c>
      <c r="P29" s="7">
        <f t="shared" si="0"/>
        <v>1635.84</v>
      </c>
      <c r="Q29" s="7">
        <f t="shared" ca="1" si="1"/>
        <v>9</v>
      </c>
      <c r="R29">
        <f t="shared" ca="1" si="2"/>
        <v>15000</v>
      </c>
    </row>
    <row r="30" spans="1:18" x14ac:dyDescent="0.15">
      <c r="A30">
        <v>202601</v>
      </c>
      <c r="B30" s="3">
        <v>104342898</v>
      </c>
      <c r="C30" t="s">
        <v>99</v>
      </c>
      <c r="D30">
        <v>2</v>
      </c>
      <c r="E30">
        <v>46287</v>
      </c>
      <c r="F30">
        <v>14384</v>
      </c>
      <c r="G30" s="2">
        <v>20260205</v>
      </c>
      <c r="H30">
        <v>2900065</v>
      </c>
      <c r="I30" t="s">
        <v>22</v>
      </c>
      <c r="J30" t="s">
        <v>23</v>
      </c>
      <c r="K30" t="s">
        <v>100</v>
      </c>
      <c r="L30" s="6" t="s">
        <v>101</v>
      </c>
      <c r="M30" s="6">
        <v>15</v>
      </c>
      <c r="N30" s="6"/>
      <c r="O30" s="6">
        <v>30</v>
      </c>
      <c r="P30" s="7">
        <f t="shared" si="0"/>
        <v>1542.9</v>
      </c>
      <c r="Q30" s="7">
        <f t="shared" ca="1" si="1"/>
        <v>8</v>
      </c>
      <c r="R30">
        <f t="shared" ca="1" si="2"/>
        <v>13000</v>
      </c>
    </row>
    <row r="31" spans="1:18" x14ac:dyDescent="0.15">
      <c r="A31">
        <v>202601</v>
      </c>
      <c r="B31" s="3">
        <v>104370793</v>
      </c>
      <c r="C31" t="s">
        <v>102</v>
      </c>
      <c r="D31">
        <v>1</v>
      </c>
      <c r="E31">
        <v>23337</v>
      </c>
      <c r="F31">
        <v>14384</v>
      </c>
      <c r="G31" s="2">
        <v>20260210</v>
      </c>
      <c r="H31">
        <v>2900062</v>
      </c>
      <c r="I31" t="s">
        <v>22</v>
      </c>
      <c r="J31" t="s">
        <v>23</v>
      </c>
      <c r="K31" t="s">
        <v>103</v>
      </c>
      <c r="L31" s="6" t="s">
        <v>104</v>
      </c>
      <c r="M31" s="6">
        <v>15</v>
      </c>
      <c r="N31" s="6"/>
      <c r="O31" s="6">
        <v>30</v>
      </c>
      <c r="P31" s="7">
        <f t="shared" si="0"/>
        <v>777.9</v>
      </c>
      <c r="Q31" s="7">
        <f t="shared" ca="1" si="1"/>
        <v>3</v>
      </c>
      <c r="R31">
        <f t="shared" ca="1" si="2"/>
        <v>3000</v>
      </c>
    </row>
    <row r="32" spans="1:18" x14ac:dyDescent="0.15">
      <c r="A32">
        <v>202601</v>
      </c>
      <c r="B32" s="3">
        <v>104468701</v>
      </c>
      <c r="C32" t="s">
        <v>105</v>
      </c>
      <c r="D32">
        <v>1</v>
      </c>
      <c r="E32">
        <v>22021</v>
      </c>
      <c r="F32">
        <v>14384</v>
      </c>
      <c r="G32" s="2">
        <v>20260129</v>
      </c>
      <c r="H32">
        <v>2990101</v>
      </c>
      <c r="I32" t="s">
        <v>22</v>
      </c>
      <c r="J32" t="s">
        <v>23</v>
      </c>
      <c r="K32" t="s">
        <v>106</v>
      </c>
      <c r="L32" s="6" t="s">
        <v>107</v>
      </c>
      <c r="M32" s="6">
        <v>15</v>
      </c>
      <c r="N32" s="6"/>
      <c r="O32" s="6">
        <v>25</v>
      </c>
      <c r="P32" s="7">
        <f t="shared" si="0"/>
        <v>880.84</v>
      </c>
      <c r="Q32" s="7">
        <f t="shared" ca="1" si="1"/>
        <v>15</v>
      </c>
      <c r="R32">
        <f t="shared" ca="1" si="2"/>
        <v>14000</v>
      </c>
    </row>
    <row r="33" spans="1:18" x14ac:dyDescent="0.15">
      <c r="A33">
        <v>202601</v>
      </c>
      <c r="B33" s="3">
        <v>104532608</v>
      </c>
      <c r="C33" t="s">
        <v>108</v>
      </c>
      <c r="D33">
        <v>1</v>
      </c>
      <c r="E33">
        <v>45173</v>
      </c>
      <c r="F33">
        <v>14384</v>
      </c>
      <c r="G33" s="2">
        <v>20260209</v>
      </c>
      <c r="H33">
        <v>2900056</v>
      </c>
      <c r="I33" t="s">
        <v>22</v>
      </c>
      <c r="J33" t="s">
        <v>23</v>
      </c>
      <c r="K33" t="s">
        <v>109</v>
      </c>
      <c r="L33" s="6" t="s">
        <v>110</v>
      </c>
      <c r="M33" s="6">
        <v>15</v>
      </c>
      <c r="N33" s="6"/>
      <c r="O33" s="6">
        <v>25</v>
      </c>
      <c r="P33" s="7">
        <f t="shared" si="0"/>
        <v>1806.92</v>
      </c>
      <c r="Q33" s="7">
        <f t="shared" ca="1" si="1"/>
        <v>4</v>
      </c>
      <c r="R33">
        <f t="shared" ca="1" si="2"/>
        <v>8000</v>
      </c>
    </row>
    <row r="34" spans="1:18" x14ac:dyDescent="0.15">
      <c r="A34">
        <v>202601</v>
      </c>
      <c r="B34" s="3">
        <v>104557529</v>
      </c>
      <c r="C34" t="s">
        <v>111</v>
      </c>
      <c r="D34">
        <v>2</v>
      </c>
      <c r="E34">
        <v>278389</v>
      </c>
      <c r="F34">
        <v>14384</v>
      </c>
      <c r="G34" s="2">
        <v>20260209</v>
      </c>
      <c r="H34">
        <v>2900068</v>
      </c>
      <c r="I34" t="s">
        <v>22</v>
      </c>
      <c r="J34" t="s">
        <v>23</v>
      </c>
      <c r="K34" t="s">
        <v>42</v>
      </c>
      <c r="L34" s="6" t="s">
        <v>28</v>
      </c>
      <c r="M34" s="6">
        <v>15</v>
      </c>
      <c r="N34" s="6"/>
      <c r="O34" s="6">
        <v>30</v>
      </c>
      <c r="P34" s="7">
        <f t="shared" si="0"/>
        <v>9279.6333333333332</v>
      </c>
      <c r="Q34" s="7">
        <f t="shared" ca="1" si="1"/>
        <v>4</v>
      </c>
      <c r="R34">
        <f t="shared" ca="1" si="2"/>
        <v>38000</v>
      </c>
    </row>
    <row r="35" spans="1:18" x14ac:dyDescent="0.15">
      <c r="A35">
        <v>202601</v>
      </c>
      <c r="B35" s="3">
        <v>104738495</v>
      </c>
      <c r="C35" t="s">
        <v>112</v>
      </c>
      <c r="D35">
        <v>1</v>
      </c>
      <c r="E35">
        <v>28522</v>
      </c>
      <c r="F35">
        <v>14384</v>
      </c>
      <c r="G35" s="2">
        <v>20260130</v>
      </c>
      <c r="H35">
        <v>2900067</v>
      </c>
      <c r="I35" t="s">
        <v>22</v>
      </c>
      <c r="J35" t="s">
        <v>23</v>
      </c>
      <c r="K35" t="s">
        <v>113</v>
      </c>
      <c r="L35" s="6" t="s">
        <v>114</v>
      </c>
      <c r="M35" s="6">
        <v>15</v>
      </c>
      <c r="N35" s="6"/>
      <c r="O35" s="6">
        <v>25</v>
      </c>
      <c r="P35" s="7">
        <f t="shared" si="0"/>
        <v>1140.8800000000001</v>
      </c>
      <c r="Q35" s="7">
        <f t="shared" ca="1" si="1"/>
        <v>14</v>
      </c>
      <c r="R35">
        <f t="shared" ca="1" si="2"/>
        <v>16000</v>
      </c>
    </row>
    <row r="36" spans="1:18" x14ac:dyDescent="0.15">
      <c r="A36">
        <v>202601</v>
      </c>
      <c r="B36" s="3">
        <v>104766562</v>
      </c>
      <c r="C36" t="s">
        <v>115</v>
      </c>
      <c r="D36">
        <v>1</v>
      </c>
      <c r="E36">
        <v>16454</v>
      </c>
      <c r="F36">
        <v>14384</v>
      </c>
      <c r="G36" s="2">
        <v>20260204</v>
      </c>
      <c r="H36">
        <v>2900055</v>
      </c>
      <c r="I36" t="s">
        <v>22</v>
      </c>
      <c r="J36" t="s">
        <v>23</v>
      </c>
      <c r="K36" t="s">
        <v>116</v>
      </c>
      <c r="L36" s="6" t="s">
        <v>117</v>
      </c>
      <c r="M36" s="6">
        <v>15</v>
      </c>
      <c r="N36" s="6"/>
      <c r="O36" s="6">
        <v>25</v>
      </c>
      <c r="P36" s="7">
        <f t="shared" si="0"/>
        <v>658.16</v>
      </c>
      <c r="Q36" s="7">
        <f t="shared" ca="1" si="1"/>
        <v>9</v>
      </c>
      <c r="R36">
        <f t="shared" ca="1" si="2"/>
        <v>6000</v>
      </c>
    </row>
    <row r="37" spans="1:18" x14ac:dyDescent="0.15">
      <c r="A37">
        <v>202601</v>
      </c>
      <c r="B37" s="3">
        <v>105012619</v>
      </c>
      <c r="C37" t="s">
        <v>118</v>
      </c>
      <c r="D37">
        <v>2</v>
      </c>
      <c r="E37">
        <v>49343</v>
      </c>
      <c r="F37">
        <v>14384</v>
      </c>
      <c r="G37" s="2">
        <v>20260206</v>
      </c>
      <c r="H37">
        <v>2908511</v>
      </c>
      <c r="I37" t="s">
        <v>22</v>
      </c>
      <c r="J37" t="s">
        <v>23</v>
      </c>
      <c r="K37" t="s">
        <v>119</v>
      </c>
      <c r="L37" s="6" t="s">
        <v>120</v>
      </c>
      <c r="M37" s="6">
        <v>15</v>
      </c>
      <c r="N37" s="6" t="s">
        <v>121</v>
      </c>
      <c r="O37" s="6">
        <v>25</v>
      </c>
      <c r="P37" s="7">
        <f t="shared" si="0"/>
        <v>1973.72</v>
      </c>
      <c r="Q37" s="7">
        <f t="shared" ca="1" si="1"/>
        <v>7</v>
      </c>
      <c r="R37">
        <f t="shared" ca="1" si="2"/>
        <v>14000</v>
      </c>
    </row>
    <row r="38" spans="1:18" x14ac:dyDescent="0.15">
      <c r="A38">
        <v>202601</v>
      </c>
      <c r="B38" s="3">
        <v>105261124</v>
      </c>
      <c r="C38" t="s">
        <v>122</v>
      </c>
      <c r="D38">
        <v>2</v>
      </c>
      <c r="E38">
        <v>27628</v>
      </c>
      <c r="F38">
        <v>14384</v>
      </c>
      <c r="G38" s="2">
        <v>20260209</v>
      </c>
      <c r="H38">
        <v>2900057</v>
      </c>
      <c r="I38" t="s">
        <v>22</v>
      </c>
      <c r="J38" t="s">
        <v>23</v>
      </c>
      <c r="K38" t="s">
        <v>123</v>
      </c>
      <c r="L38" s="6" t="s">
        <v>124</v>
      </c>
      <c r="M38" s="6">
        <v>15</v>
      </c>
      <c r="N38" s="6"/>
      <c r="O38" s="6">
        <v>30</v>
      </c>
      <c r="P38" s="7">
        <f t="shared" si="0"/>
        <v>920.93333333333328</v>
      </c>
      <c r="Q38" s="7">
        <f t="shared" ca="1" si="1"/>
        <v>4</v>
      </c>
      <c r="R38">
        <f t="shared" ca="1" si="2"/>
        <v>4000</v>
      </c>
    </row>
    <row r="39" spans="1:18" x14ac:dyDescent="0.15">
      <c r="A39">
        <v>202601</v>
      </c>
      <c r="B39" s="3">
        <v>105308436</v>
      </c>
      <c r="C39" t="s">
        <v>125</v>
      </c>
      <c r="D39">
        <v>2</v>
      </c>
      <c r="E39">
        <v>84482</v>
      </c>
      <c r="F39">
        <v>14384</v>
      </c>
      <c r="G39" s="2">
        <v>20260206</v>
      </c>
      <c r="H39">
        <v>2908511</v>
      </c>
      <c r="I39" t="s">
        <v>22</v>
      </c>
      <c r="J39" t="s">
        <v>23</v>
      </c>
      <c r="K39" t="s">
        <v>119</v>
      </c>
      <c r="L39" s="6" t="s">
        <v>120</v>
      </c>
      <c r="M39" s="6">
        <v>15</v>
      </c>
      <c r="N39" s="6" t="s">
        <v>121</v>
      </c>
      <c r="O39" s="6">
        <v>25</v>
      </c>
      <c r="P39" s="7">
        <f t="shared" si="0"/>
        <v>3379.28</v>
      </c>
      <c r="Q39" s="7">
        <f t="shared" ca="1" si="1"/>
        <v>7</v>
      </c>
      <c r="R39">
        <f t="shared" ca="1" si="2"/>
        <v>24000</v>
      </c>
    </row>
    <row r="40" spans="1:18" x14ac:dyDescent="0.15">
      <c r="A40">
        <v>202601</v>
      </c>
      <c r="B40" s="3">
        <v>105326702</v>
      </c>
      <c r="C40" t="s">
        <v>126</v>
      </c>
      <c r="D40">
        <v>1</v>
      </c>
      <c r="E40">
        <v>71494</v>
      </c>
      <c r="F40">
        <v>14384</v>
      </c>
      <c r="G40" s="2">
        <v>20260204</v>
      </c>
      <c r="H40">
        <v>2900050</v>
      </c>
      <c r="I40" t="s">
        <v>22</v>
      </c>
      <c r="J40" t="s">
        <v>23</v>
      </c>
      <c r="K40" t="s">
        <v>127</v>
      </c>
      <c r="L40" s="6" t="s">
        <v>128</v>
      </c>
      <c r="M40" s="6">
        <v>15</v>
      </c>
      <c r="N40" s="6"/>
      <c r="O40" s="6">
        <v>25</v>
      </c>
      <c r="P40" s="7">
        <f t="shared" si="0"/>
        <v>2859.76</v>
      </c>
      <c r="Q40" s="7">
        <f t="shared" ca="1" si="1"/>
        <v>9</v>
      </c>
      <c r="R40">
        <f t="shared" ca="1" si="2"/>
        <v>26000</v>
      </c>
    </row>
    <row r="41" spans="1:18" x14ac:dyDescent="0.15">
      <c r="A41">
        <v>202601</v>
      </c>
      <c r="B41" s="3">
        <v>105335883</v>
      </c>
      <c r="C41" t="s">
        <v>129</v>
      </c>
      <c r="D41">
        <v>1</v>
      </c>
      <c r="E41">
        <v>21959</v>
      </c>
      <c r="F41">
        <v>14384</v>
      </c>
      <c r="G41" s="2">
        <v>20260129</v>
      </c>
      <c r="H41">
        <v>2990101</v>
      </c>
      <c r="I41" t="s">
        <v>22</v>
      </c>
      <c r="J41" t="s">
        <v>23</v>
      </c>
      <c r="K41" t="s">
        <v>130</v>
      </c>
      <c r="L41" s="6" t="s">
        <v>131</v>
      </c>
      <c r="M41" s="6">
        <v>15</v>
      </c>
      <c r="N41" s="6"/>
      <c r="O41" s="6">
        <v>30</v>
      </c>
      <c r="P41" s="7">
        <f t="shared" si="0"/>
        <v>731.9666666666667</v>
      </c>
      <c r="Q41" s="7">
        <f t="shared" ca="1" si="1"/>
        <v>15</v>
      </c>
      <c r="R41">
        <f t="shared" ca="1" si="2"/>
        <v>11000</v>
      </c>
    </row>
    <row r="42" spans="1:18" x14ac:dyDescent="0.15">
      <c r="A42">
        <v>202601</v>
      </c>
      <c r="B42" s="3">
        <v>105358530</v>
      </c>
      <c r="C42" t="s">
        <v>132</v>
      </c>
      <c r="D42">
        <v>2</v>
      </c>
      <c r="E42">
        <v>83174</v>
      </c>
      <c r="F42">
        <v>14384</v>
      </c>
      <c r="G42" s="2">
        <v>20260204</v>
      </c>
      <c r="H42">
        <v>2900050</v>
      </c>
      <c r="I42" t="s">
        <v>22</v>
      </c>
      <c r="J42" t="s">
        <v>23</v>
      </c>
      <c r="K42" t="s">
        <v>133</v>
      </c>
      <c r="L42" s="6" t="s">
        <v>128</v>
      </c>
      <c r="M42" s="6">
        <v>15</v>
      </c>
      <c r="N42" s="6"/>
      <c r="O42" s="6">
        <v>30</v>
      </c>
      <c r="P42" s="7">
        <f t="shared" si="0"/>
        <v>2772.4666666666667</v>
      </c>
      <c r="Q42" s="7">
        <f t="shared" ca="1" si="1"/>
        <v>9</v>
      </c>
      <c r="R42">
        <f t="shared" ca="1" si="2"/>
        <v>25000</v>
      </c>
    </row>
    <row r="43" spans="1:18" x14ac:dyDescent="0.15">
      <c r="A43">
        <v>202601</v>
      </c>
      <c r="B43" s="3">
        <v>105368968</v>
      </c>
      <c r="C43" t="s">
        <v>134</v>
      </c>
      <c r="D43">
        <v>1</v>
      </c>
      <c r="E43">
        <v>32775</v>
      </c>
      <c r="F43">
        <v>14384</v>
      </c>
      <c r="G43" s="2">
        <v>20260129</v>
      </c>
      <c r="H43">
        <v>2908588</v>
      </c>
      <c r="I43" t="s">
        <v>22</v>
      </c>
      <c r="J43" t="s">
        <v>23</v>
      </c>
      <c r="K43" t="s">
        <v>135</v>
      </c>
      <c r="L43" s="6" t="s">
        <v>136</v>
      </c>
      <c r="M43" s="6">
        <v>15</v>
      </c>
      <c r="N43" s="6" t="s">
        <v>121</v>
      </c>
      <c r="O43" s="6">
        <v>25</v>
      </c>
      <c r="P43" s="7">
        <f t="shared" si="0"/>
        <v>1311</v>
      </c>
      <c r="Q43" s="7">
        <f t="shared" ca="1" si="1"/>
        <v>15</v>
      </c>
      <c r="R43">
        <f t="shared" ca="1" si="2"/>
        <v>20000</v>
      </c>
    </row>
    <row r="44" spans="1:18" x14ac:dyDescent="0.15">
      <c r="A44">
        <v>202601</v>
      </c>
      <c r="B44" s="3">
        <v>105507152</v>
      </c>
      <c r="C44" t="s">
        <v>137</v>
      </c>
      <c r="D44">
        <v>2</v>
      </c>
      <c r="E44">
        <v>57181</v>
      </c>
      <c r="F44">
        <v>14384</v>
      </c>
      <c r="G44" s="2">
        <v>20260206</v>
      </c>
      <c r="H44">
        <v>2908585</v>
      </c>
      <c r="I44" t="s">
        <v>22</v>
      </c>
      <c r="J44" t="s">
        <v>23</v>
      </c>
      <c r="K44" t="s">
        <v>138</v>
      </c>
      <c r="L44" s="6" t="s">
        <v>139</v>
      </c>
      <c r="M44" s="6">
        <v>15</v>
      </c>
      <c r="N44" s="6" t="s">
        <v>121</v>
      </c>
      <c r="O44" s="6">
        <v>25</v>
      </c>
      <c r="P44" s="7">
        <f t="shared" si="0"/>
        <v>2287.2399999999998</v>
      </c>
      <c r="Q44" s="7">
        <f t="shared" ca="1" si="1"/>
        <v>7</v>
      </c>
      <c r="R44">
        <f t="shared" ca="1" si="2"/>
        <v>17000</v>
      </c>
    </row>
    <row r="45" spans="1:18" x14ac:dyDescent="0.15">
      <c r="A45">
        <v>202601</v>
      </c>
      <c r="B45" s="3">
        <v>105715435</v>
      </c>
      <c r="C45" t="s">
        <v>140</v>
      </c>
      <c r="D45">
        <v>2</v>
      </c>
      <c r="E45">
        <v>1150</v>
      </c>
      <c r="F45">
        <v>14384</v>
      </c>
      <c r="G45" s="2">
        <v>20260113</v>
      </c>
      <c r="H45">
        <v>2900062</v>
      </c>
      <c r="I45" t="s">
        <v>22</v>
      </c>
      <c r="J45" t="s">
        <v>23</v>
      </c>
      <c r="K45" t="s">
        <v>141</v>
      </c>
      <c r="L45" s="6" t="s">
        <v>142</v>
      </c>
      <c r="M45" s="6">
        <v>15</v>
      </c>
      <c r="N45" s="6"/>
      <c r="O45" s="6">
        <v>25</v>
      </c>
      <c r="P45" s="7">
        <f t="shared" si="0"/>
        <v>46</v>
      </c>
      <c r="Q45" s="7">
        <f t="shared" ca="1" si="1"/>
        <v>31</v>
      </c>
      <c r="R45">
        <f t="shared" ca="1" si="2"/>
        <v>2000</v>
      </c>
    </row>
    <row r="46" spans="1:18" x14ac:dyDescent="0.15">
      <c r="A46">
        <v>202601</v>
      </c>
      <c r="B46" s="3">
        <v>105715436</v>
      </c>
      <c r="C46" t="s">
        <v>143</v>
      </c>
      <c r="D46">
        <v>1</v>
      </c>
      <c r="E46">
        <v>111502</v>
      </c>
      <c r="F46">
        <v>14384</v>
      </c>
      <c r="G46" s="2">
        <v>20260210</v>
      </c>
      <c r="H46">
        <v>2900081</v>
      </c>
      <c r="I46" t="s">
        <v>22</v>
      </c>
      <c r="J46" t="s">
        <v>23</v>
      </c>
      <c r="K46" t="s">
        <v>144</v>
      </c>
      <c r="L46" s="6" t="s">
        <v>145</v>
      </c>
      <c r="M46" s="6">
        <v>15</v>
      </c>
      <c r="N46" s="6"/>
      <c r="O46" s="6">
        <v>30</v>
      </c>
      <c r="P46" s="7">
        <f t="shared" si="0"/>
        <v>3716.7333333333331</v>
      </c>
      <c r="Q46" s="7">
        <f t="shared" ca="1" si="1"/>
        <v>3</v>
      </c>
      <c r="R46">
        <f t="shared" ca="1" si="2"/>
        <v>12000</v>
      </c>
    </row>
    <row r="47" spans="1:18" x14ac:dyDescent="0.15">
      <c r="A47">
        <v>202601</v>
      </c>
      <c r="B47" s="3">
        <v>105733863</v>
      </c>
      <c r="C47" t="s">
        <v>146</v>
      </c>
      <c r="D47">
        <v>1</v>
      </c>
      <c r="E47">
        <v>15087</v>
      </c>
      <c r="F47">
        <v>14384</v>
      </c>
      <c r="G47" s="2">
        <v>20260202</v>
      </c>
      <c r="H47">
        <v>2900066</v>
      </c>
      <c r="I47" t="s">
        <v>22</v>
      </c>
      <c r="J47" t="s">
        <v>23</v>
      </c>
      <c r="K47" t="s">
        <v>147</v>
      </c>
      <c r="L47" s="6" t="s">
        <v>31</v>
      </c>
      <c r="M47" s="6">
        <v>15</v>
      </c>
      <c r="N47" s="6"/>
      <c r="O47" s="6">
        <v>30</v>
      </c>
      <c r="P47" s="7">
        <f t="shared" si="0"/>
        <v>502.9</v>
      </c>
      <c r="Q47" s="7">
        <f t="shared" ca="1" si="1"/>
        <v>11</v>
      </c>
      <c r="R47">
        <f t="shared" ca="1" si="2"/>
        <v>6000</v>
      </c>
    </row>
    <row r="48" spans="1:18" x14ac:dyDescent="0.15">
      <c r="A48">
        <v>202601</v>
      </c>
      <c r="B48" s="3">
        <v>105749119</v>
      </c>
      <c r="C48" t="s">
        <v>148</v>
      </c>
      <c r="D48">
        <v>1</v>
      </c>
      <c r="E48">
        <v>28086</v>
      </c>
      <c r="F48">
        <v>14384</v>
      </c>
      <c r="G48" s="2">
        <v>20260210</v>
      </c>
      <c r="H48">
        <v>2900081</v>
      </c>
      <c r="I48" t="s">
        <v>22</v>
      </c>
      <c r="J48" t="s">
        <v>23</v>
      </c>
      <c r="K48" t="s">
        <v>149</v>
      </c>
      <c r="L48" s="6" t="s">
        <v>145</v>
      </c>
      <c r="M48" s="6">
        <v>15</v>
      </c>
      <c r="N48" s="6"/>
      <c r="O48" s="6">
        <v>30</v>
      </c>
      <c r="P48" s="7">
        <f t="shared" si="0"/>
        <v>936.2</v>
      </c>
      <c r="Q48" s="7">
        <f t="shared" ca="1" si="1"/>
        <v>3</v>
      </c>
      <c r="R48">
        <f t="shared" ca="1" si="2"/>
        <v>3000</v>
      </c>
    </row>
    <row r="49" spans="1:18" x14ac:dyDescent="0.15">
      <c r="A49">
        <v>202601</v>
      </c>
      <c r="B49" s="3">
        <v>105761363</v>
      </c>
      <c r="C49" t="s">
        <v>150</v>
      </c>
      <c r="D49">
        <v>2</v>
      </c>
      <c r="E49">
        <v>25359</v>
      </c>
      <c r="F49">
        <v>14384</v>
      </c>
      <c r="G49" s="2">
        <v>20260130</v>
      </c>
      <c r="H49">
        <v>2900067</v>
      </c>
      <c r="I49" t="s">
        <v>22</v>
      </c>
      <c r="J49" t="s">
        <v>23</v>
      </c>
      <c r="K49" t="s">
        <v>151</v>
      </c>
      <c r="L49" s="6" t="s">
        <v>139</v>
      </c>
      <c r="M49" s="6">
        <v>15</v>
      </c>
      <c r="N49" s="6" t="s">
        <v>121</v>
      </c>
      <c r="O49" s="6">
        <v>25</v>
      </c>
      <c r="P49" s="7">
        <f t="shared" si="0"/>
        <v>1014.36</v>
      </c>
      <c r="Q49" s="7">
        <f t="shared" ca="1" si="1"/>
        <v>14</v>
      </c>
      <c r="R49">
        <f t="shared" ca="1" si="2"/>
        <v>15000</v>
      </c>
    </row>
    <row r="50" spans="1:18" x14ac:dyDescent="0.15">
      <c r="A50">
        <v>202601</v>
      </c>
      <c r="B50" s="3">
        <v>105807439</v>
      </c>
      <c r="C50" t="s">
        <v>152</v>
      </c>
      <c r="D50">
        <v>1</v>
      </c>
      <c r="E50">
        <v>39134</v>
      </c>
      <c r="F50">
        <v>14384</v>
      </c>
      <c r="G50" s="2">
        <v>20260204</v>
      </c>
      <c r="H50">
        <v>2900054</v>
      </c>
      <c r="I50" t="s">
        <v>22</v>
      </c>
      <c r="J50" t="s">
        <v>23</v>
      </c>
      <c r="K50" t="s">
        <v>153</v>
      </c>
      <c r="L50" s="6" t="s">
        <v>154</v>
      </c>
      <c r="M50" s="6">
        <v>15</v>
      </c>
      <c r="N50" s="6"/>
      <c r="O50" s="6">
        <v>30</v>
      </c>
      <c r="P50" s="7">
        <f t="shared" si="0"/>
        <v>1304.4666666666667</v>
      </c>
      <c r="Q50" s="7">
        <f t="shared" ca="1" si="1"/>
        <v>9</v>
      </c>
      <c r="R50">
        <f t="shared" ca="1" si="2"/>
        <v>12000</v>
      </c>
    </row>
    <row r="51" spans="1:18" x14ac:dyDescent="0.15">
      <c r="A51">
        <v>202601</v>
      </c>
      <c r="B51" s="3">
        <v>105816227</v>
      </c>
      <c r="C51" t="s">
        <v>155</v>
      </c>
      <c r="D51">
        <v>1</v>
      </c>
      <c r="E51">
        <v>41860</v>
      </c>
      <c r="F51">
        <v>14384</v>
      </c>
      <c r="G51" s="2">
        <v>20260209</v>
      </c>
      <c r="H51">
        <v>2900056</v>
      </c>
      <c r="I51" t="s">
        <v>22</v>
      </c>
      <c r="J51" t="s">
        <v>23</v>
      </c>
      <c r="K51" t="s">
        <v>156</v>
      </c>
      <c r="L51" s="6" t="s">
        <v>157</v>
      </c>
      <c r="M51" s="6">
        <v>15</v>
      </c>
      <c r="N51" s="6"/>
      <c r="O51" s="6">
        <v>25</v>
      </c>
      <c r="P51" s="7">
        <f t="shared" si="0"/>
        <v>1674.4</v>
      </c>
      <c r="Q51" s="7">
        <f t="shared" ca="1" si="1"/>
        <v>4</v>
      </c>
      <c r="R51">
        <f t="shared" ca="1" si="2"/>
        <v>7000</v>
      </c>
    </row>
    <row r="52" spans="1:18" x14ac:dyDescent="0.15">
      <c r="A52">
        <v>202601</v>
      </c>
      <c r="B52" s="3">
        <v>105843701</v>
      </c>
      <c r="C52" t="s">
        <v>158</v>
      </c>
      <c r="D52">
        <v>1</v>
      </c>
      <c r="E52">
        <v>32746</v>
      </c>
      <c r="F52">
        <v>14384</v>
      </c>
      <c r="G52" s="2">
        <v>20260202</v>
      </c>
      <c r="H52">
        <v>2900062</v>
      </c>
      <c r="I52" t="s">
        <v>22</v>
      </c>
      <c r="J52" t="s">
        <v>23</v>
      </c>
      <c r="K52" t="s">
        <v>159</v>
      </c>
      <c r="L52" s="6" t="s">
        <v>160</v>
      </c>
      <c r="M52" s="6">
        <v>15</v>
      </c>
      <c r="N52" s="6"/>
      <c r="O52" s="6">
        <v>25</v>
      </c>
      <c r="P52" s="7">
        <f t="shared" si="0"/>
        <v>1309.8399999999999</v>
      </c>
      <c r="Q52" s="7">
        <f t="shared" ca="1" si="1"/>
        <v>11</v>
      </c>
      <c r="R52">
        <f t="shared" ca="1" si="2"/>
        <v>15000</v>
      </c>
    </row>
    <row r="53" spans="1:18" x14ac:dyDescent="0.15">
      <c r="A53">
        <v>202601</v>
      </c>
      <c r="B53" s="3">
        <v>105843702</v>
      </c>
      <c r="C53" t="s">
        <v>161</v>
      </c>
      <c r="D53">
        <v>1</v>
      </c>
      <c r="E53">
        <v>10759</v>
      </c>
      <c r="F53">
        <v>14384</v>
      </c>
      <c r="G53" s="2">
        <v>20260203</v>
      </c>
      <c r="H53">
        <v>2900056</v>
      </c>
      <c r="I53" t="s">
        <v>22</v>
      </c>
      <c r="J53" t="s">
        <v>23</v>
      </c>
      <c r="K53" t="s">
        <v>162</v>
      </c>
      <c r="L53" s="6" t="s">
        <v>163</v>
      </c>
      <c r="M53" s="6">
        <v>15</v>
      </c>
      <c r="N53" s="6"/>
      <c r="O53" s="6">
        <v>25</v>
      </c>
      <c r="P53" s="7">
        <f t="shared" si="0"/>
        <v>430.36</v>
      </c>
      <c r="Q53" s="7">
        <f t="shared" ca="1" si="1"/>
        <v>10</v>
      </c>
      <c r="R53">
        <f t="shared" ca="1" si="2"/>
        <v>5000</v>
      </c>
    </row>
    <row r="54" spans="1:18" x14ac:dyDescent="0.15">
      <c r="A54">
        <v>202601</v>
      </c>
      <c r="B54" s="3">
        <v>106046341</v>
      </c>
      <c r="C54" t="s">
        <v>164</v>
      </c>
      <c r="D54">
        <v>2</v>
      </c>
      <c r="E54">
        <v>19011</v>
      </c>
      <c r="F54">
        <v>14384</v>
      </c>
      <c r="G54" s="2">
        <v>20260206</v>
      </c>
      <c r="H54">
        <v>2900067</v>
      </c>
      <c r="I54" t="s">
        <v>22</v>
      </c>
      <c r="J54" t="s">
        <v>23</v>
      </c>
      <c r="K54" t="s">
        <v>165</v>
      </c>
      <c r="L54" s="6" t="s">
        <v>166</v>
      </c>
      <c r="M54" s="6">
        <v>15</v>
      </c>
      <c r="N54" s="6"/>
      <c r="O54" s="6">
        <v>25</v>
      </c>
      <c r="P54" s="7">
        <f t="shared" si="0"/>
        <v>760.44</v>
      </c>
      <c r="Q54" s="7">
        <f t="shared" ca="1" si="1"/>
        <v>7</v>
      </c>
      <c r="R54">
        <f t="shared" ca="1" si="2"/>
        <v>6000</v>
      </c>
    </row>
    <row r="55" spans="1:18" x14ac:dyDescent="0.15">
      <c r="A55">
        <v>202601</v>
      </c>
      <c r="B55" s="3">
        <v>106070716</v>
      </c>
      <c r="C55" t="s">
        <v>167</v>
      </c>
      <c r="D55">
        <v>1</v>
      </c>
      <c r="E55">
        <v>19409</v>
      </c>
      <c r="F55">
        <v>14384</v>
      </c>
      <c r="G55" s="2">
        <v>20260129</v>
      </c>
      <c r="H55">
        <v>2900035</v>
      </c>
      <c r="I55" t="s">
        <v>22</v>
      </c>
      <c r="J55" t="s">
        <v>23</v>
      </c>
      <c r="K55" t="s">
        <v>168</v>
      </c>
      <c r="L55" s="6" t="s">
        <v>169</v>
      </c>
      <c r="M55" s="6">
        <v>15</v>
      </c>
      <c r="N55" s="6"/>
      <c r="O55" s="6">
        <v>20</v>
      </c>
      <c r="P55" s="7">
        <f t="shared" si="0"/>
        <v>970.45</v>
      </c>
      <c r="Q55" s="7">
        <f t="shared" ca="1" si="1"/>
        <v>15</v>
      </c>
      <c r="R55">
        <f t="shared" ca="1" si="2"/>
        <v>15000</v>
      </c>
    </row>
    <row r="56" spans="1:18" x14ac:dyDescent="0.15">
      <c r="A56">
        <v>202601</v>
      </c>
      <c r="B56" s="3">
        <v>106168418</v>
      </c>
      <c r="C56" t="s">
        <v>170</v>
      </c>
      <c r="D56">
        <v>1</v>
      </c>
      <c r="E56">
        <v>11615</v>
      </c>
      <c r="F56">
        <v>14384</v>
      </c>
      <c r="G56" s="2">
        <v>20260205</v>
      </c>
      <c r="H56">
        <v>2900038</v>
      </c>
      <c r="I56" t="s">
        <v>22</v>
      </c>
      <c r="J56" t="s">
        <v>23</v>
      </c>
      <c r="K56" t="s">
        <v>171</v>
      </c>
      <c r="L56" s="6" t="s">
        <v>172</v>
      </c>
      <c r="M56" s="6">
        <v>15</v>
      </c>
      <c r="N56" s="6"/>
      <c r="O56" s="6">
        <v>30</v>
      </c>
      <c r="P56" s="7">
        <f t="shared" si="0"/>
        <v>387.16666666666669</v>
      </c>
      <c r="Q56" s="7">
        <f t="shared" ca="1" si="1"/>
        <v>8</v>
      </c>
      <c r="R56">
        <f t="shared" ca="1" si="2"/>
        <v>4000</v>
      </c>
    </row>
    <row r="57" spans="1:18" x14ac:dyDescent="0.15">
      <c r="A57">
        <v>202601</v>
      </c>
      <c r="B57" s="3">
        <v>106191204</v>
      </c>
      <c r="C57" t="s">
        <v>173</v>
      </c>
      <c r="D57">
        <v>2</v>
      </c>
      <c r="E57">
        <v>30785</v>
      </c>
      <c r="F57">
        <v>14384</v>
      </c>
      <c r="G57" s="2">
        <v>20260130</v>
      </c>
      <c r="H57">
        <v>2900067</v>
      </c>
      <c r="I57" t="s">
        <v>22</v>
      </c>
      <c r="J57" t="s">
        <v>23</v>
      </c>
      <c r="K57" t="s">
        <v>174</v>
      </c>
      <c r="L57" s="6" t="s">
        <v>48</v>
      </c>
      <c r="M57" s="6">
        <v>15</v>
      </c>
      <c r="N57" s="6" t="s">
        <v>121</v>
      </c>
      <c r="O57" s="6">
        <v>25</v>
      </c>
      <c r="P57" s="7">
        <f t="shared" si="0"/>
        <v>1231.4000000000001</v>
      </c>
      <c r="Q57" s="7">
        <f t="shared" ca="1" si="1"/>
        <v>14</v>
      </c>
      <c r="R57">
        <f t="shared" ca="1" si="2"/>
        <v>18000</v>
      </c>
    </row>
    <row r="58" spans="1:18" x14ac:dyDescent="0.15">
      <c r="A58">
        <v>202601</v>
      </c>
      <c r="B58" s="3">
        <v>106360363</v>
      </c>
      <c r="C58" t="s">
        <v>175</v>
      </c>
      <c r="D58">
        <v>2</v>
      </c>
      <c r="E58">
        <v>74277</v>
      </c>
      <c r="F58">
        <v>14384</v>
      </c>
      <c r="G58" s="2">
        <v>20260205</v>
      </c>
      <c r="H58">
        <v>2908566</v>
      </c>
      <c r="I58" t="s">
        <v>22</v>
      </c>
      <c r="J58" t="s">
        <v>23</v>
      </c>
      <c r="K58" t="s">
        <v>176</v>
      </c>
      <c r="L58" s="6" t="s">
        <v>51</v>
      </c>
      <c r="M58" s="6">
        <v>15</v>
      </c>
      <c r="N58" s="6" t="s">
        <v>121</v>
      </c>
      <c r="O58" s="6">
        <v>25</v>
      </c>
      <c r="P58" s="7">
        <f t="shared" si="0"/>
        <v>2971.08</v>
      </c>
      <c r="Q58" s="7">
        <f t="shared" ca="1" si="1"/>
        <v>8</v>
      </c>
      <c r="R58">
        <f t="shared" ca="1" si="2"/>
        <v>24000</v>
      </c>
    </row>
    <row r="59" spans="1:18" x14ac:dyDescent="0.15">
      <c r="A59">
        <v>202601</v>
      </c>
      <c r="B59" s="3">
        <v>106432264</v>
      </c>
      <c r="C59" t="s">
        <v>177</v>
      </c>
      <c r="D59">
        <v>2</v>
      </c>
      <c r="E59">
        <v>56006</v>
      </c>
      <c r="F59">
        <v>14384</v>
      </c>
      <c r="G59" s="2">
        <v>20260209</v>
      </c>
      <c r="H59">
        <v>2900056</v>
      </c>
      <c r="I59" t="s">
        <v>22</v>
      </c>
      <c r="J59" t="s">
        <v>23</v>
      </c>
      <c r="K59" t="s">
        <v>178</v>
      </c>
      <c r="L59" s="6" t="s">
        <v>179</v>
      </c>
      <c r="M59" s="6">
        <v>15</v>
      </c>
      <c r="N59" s="6"/>
      <c r="O59" s="6">
        <v>25</v>
      </c>
      <c r="P59" s="7">
        <f t="shared" si="0"/>
        <v>2240.2399999999998</v>
      </c>
      <c r="Q59" s="7">
        <f t="shared" ca="1" si="1"/>
        <v>4</v>
      </c>
      <c r="R59">
        <f t="shared" ca="1" si="2"/>
        <v>9000</v>
      </c>
    </row>
    <row r="60" spans="1:18" x14ac:dyDescent="0.15">
      <c r="A60">
        <v>202601</v>
      </c>
      <c r="B60" s="3">
        <v>106476844</v>
      </c>
      <c r="C60" t="s">
        <v>180</v>
      </c>
      <c r="D60">
        <v>2</v>
      </c>
      <c r="E60">
        <v>22926</v>
      </c>
      <c r="F60">
        <v>14384</v>
      </c>
      <c r="G60" s="2">
        <v>20260209</v>
      </c>
      <c r="H60">
        <v>2900067</v>
      </c>
      <c r="I60" t="s">
        <v>22</v>
      </c>
      <c r="J60" t="s">
        <v>23</v>
      </c>
      <c r="K60" t="s">
        <v>181</v>
      </c>
      <c r="L60" s="6" t="s">
        <v>182</v>
      </c>
      <c r="M60" s="6">
        <v>15</v>
      </c>
      <c r="N60" s="6" t="s">
        <v>121</v>
      </c>
      <c r="O60" s="6">
        <v>25</v>
      </c>
      <c r="P60" s="7">
        <f t="shared" si="0"/>
        <v>917.04</v>
      </c>
      <c r="Q60" s="7">
        <f t="shared" ca="1" si="1"/>
        <v>4</v>
      </c>
      <c r="R60">
        <f t="shared" ca="1" si="2"/>
        <v>4000</v>
      </c>
    </row>
    <row r="61" spans="1:18" x14ac:dyDescent="0.15">
      <c r="A61">
        <v>202601</v>
      </c>
      <c r="B61" s="3">
        <v>106623875</v>
      </c>
      <c r="C61" t="s">
        <v>183</v>
      </c>
      <c r="D61">
        <v>2</v>
      </c>
      <c r="E61">
        <v>253899</v>
      </c>
      <c r="F61">
        <v>14384</v>
      </c>
      <c r="G61" s="2">
        <v>20260210</v>
      </c>
      <c r="H61">
        <v>2908566</v>
      </c>
      <c r="I61" t="s">
        <v>22</v>
      </c>
      <c r="J61" t="s">
        <v>23</v>
      </c>
      <c r="K61" t="s">
        <v>184</v>
      </c>
      <c r="L61" s="6" t="s">
        <v>51</v>
      </c>
      <c r="M61" s="6">
        <v>15</v>
      </c>
      <c r="N61" s="6"/>
      <c r="O61" s="6">
        <v>25</v>
      </c>
      <c r="P61" s="7">
        <f t="shared" si="0"/>
        <v>10155.959999999999</v>
      </c>
      <c r="Q61" s="7">
        <f t="shared" ca="1" si="1"/>
        <v>3</v>
      </c>
      <c r="R61">
        <f t="shared" ca="1" si="2"/>
        <v>31000</v>
      </c>
    </row>
    <row r="62" spans="1:18" x14ac:dyDescent="0.15">
      <c r="A62">
        <v>202601</v>
      </c>
      <c r="B62" s="3">
        <v>106701564</v>
      </c>
      <c r="C62" t="s">
        <v>185</v>
      </c>
      <c r="D62">
        <v>2</v>
      </c>
      <c r="E62">
        <v>28741</v>
      </c>
      <c r="F62">
        <v>14384</v>
      </c>
      <c r="G62" s="2">
        <v>20260209</v>
      </c>
      <c r="H62">
        <v>2900067</v>
      </c>
      <c r="I62" t="s">
        <v>22</v>
      </c>
      <c r="J62" t="s">
        <v>23</v>
      </c>
      <c r="K62" t="s">
        <v>186</v>
      </c>
      <c r="L62" s="6" t="s">
        <v>182</v>
      </c>
      <c r="M62" s="6">
        <v>15</v>
      </c>
      <c r="N62" s="6"/>
      <c r="O62" s="6">
        <v>25</v>
      </c>
      <c r="P62" s="7">
        <f t="shared" si="0"/>
        <v>1149.6400000000001</v>
      </c>
      <c r="Q62" s="7">
        <f t="shared" ca="1" si="1"/>
        <v>4</v>
      </c>
      <c r="R62">
        <f t="shared" ca="1" si="2"/>
        <v>5000</v>
      </c>
    </row>
    <row r="63" spans="1:18" x14ac:dyDescent="0.15">
      <c r="A63">
        <v>202601</v>
      </c>
      <c r="B63" s="3">
        <v>106750656</v>
      </c>
      <c r="C63" t="s">
        <v>187</v>
      </c>
      <c r="D63">
        <v>2</v>
      </c>
      <c r="E63">
        <v>39368</v>
      </c>
      <c r="F63">
        <v>14384</v>
      </c>
      <c r="G63" s="2">
        <v>20260204</v>
      </c>
      <c r="H63">
        <v>2900056</v>
      </c>
      <c r="I63" t="s">
        <v>22</v>
      </c>
      <c r="J63" t="s">
        <v>23</v>
      </c>
      <c r="K63" t="s">
        <v>188</v>
      </c>
      <c r="L63" s="6" t="s">
        <v>189</v>
      </c>
      <c r="M63" s="6">
        <v>15</v>
      </c>
      <c r="N63" s="6"/>
      <c r="O63" s="6">
        <v>30</v>
      </c>
      <c r="P63" s="7">
        <f t="shared" si="0"/>
        <v>1312.2666666666667</v>
      </c>
      <c r="Q63" s="7">
        <f t="shared" ca="1" si="1"/>
        <v>9</v>
      </c>
      <c r="R63">
        <f t="shared" ca="1" si="2"/>
        <v>12000</v>
      </c>
    </row>
    <row r="64" spans="1:18" x14ac:dyDescent="0.15">
      <c r="A64">
        <v>202601</v>
      </c>
      <c r="B64" s="3">
        <v>106834758</v>
      </c>
      <c r="C64" t="s">
        <v>190</v>
      </c>
      <c r="D64">
        <v>2</v>
      </c>
      <c r="E64">
        <v>40909</v>
      </c>
      <c r="F64">
        <v>14384</v>
      </c>
      <c r="G64" s="2">
        <v>20260209</v>
      </c>
      <c r="H64">
        <v>2908566</v>
      </c>
      <c r="I64" t="s">
        <v>22</v>
      </c>
      <c r="J64" t="s">
        <v>23</v>
      </c>
      <c r="K64" t="s">
        <v>176</v>
      </c>
      <c r="L64" s="6" t="s">
        <v>51</v>
      </c>
      <c r="M64" s="6">
        <v>15</v>
      </c>
      <c r="N64" s="6"/>
      <c r="O64" s="6">
        <v>25</v>
      </c>
      <c r="P64" s="7">
        <f t="shared" si="0"/>
        <v>1636.36</v>
      </c>
      <c r="Q64" s="7">
        <f t="shared" ca="1" si="1"/>
        <v>4</v>
      </c>
      <c r="R64">
        <f t="shared" ca="1" si="2"/>
        <v>7000</v>
      </c>
    </row>
    <row r="65" spans="1:18" x14ac:dyDescent="0.15">
      <c r="A65">
        <v>202601</v>
      </c>
      <c r="B65" s="3">
        <v>106850687</v>
      </c>
      <c r="C65" t="s">
        <v>191</v>
      </c>
      <c r="D65">
        <v>2</v>
      </c>
      <c r="E65">
        <v>22292</v>
      </c>
      <c r="F65">
        <v>14384</v>
      </c>
      <c r="G65" s="2">
        <v>20260129</v>
      </c>
      <c r="H65">
        <v>2900046</v>
      </c>
      <c r="I65" t="s">
        <v>22</v>
      </c>
      <c r="J65" t="s">
        <v>23</v>
      </c>
      <c r="K65" t="s">
        <v>192</v>
      </c>
      <c r="L65" s="6" t="s">
        <v>193</v>
      </c>
      <c r="M65" s="6">
        <v>15</v>
      </c>
      <c r="N65" s="6"/>
      <c r="O65" s="6">
        <v>25</v>
      </c>
      <c r="P65" s="7">
        <f t="shared" si="0"/>
        <v>891.68</v>
      </c>
      <c r="Q65" s="7">
        <f t="shared" ca="1" si="1"/>
        <v>15</v>
      </c>
      <c r="R65">
        <f t="shared" ca="1" si="2"/>
        <v>14000</v>
      </c>
    </row>
    <row r="66" spans="1:18" x14ac:dyDescent="0.15">
      <c r="A66">
        <v>202601</v>
      </c>
      <c r="B66" s="3">
        <v>107044870</v>
      </c>
      <c r="C66" t="s">
        <v>194</v>
      </c>
      <c r="D66">
        <v>1</v>
      </c>
      <c r="E66">
        <v>58546</v>
      </c>
      <c r="F66">
        <v>14384</v>
      </c>
      <c r="G66" s="2">
        <v>20260209</v>
      </c>
      <c r="H66">
        <v>2900056</v>
      </c>
      <c r="I66" t="s">
        <v>22</v>
      </c>
      <c r="J66" t="s">
        <v>23</v>
      </c>
      <c r="K66" t="s">
        <v>195</v>
      </c>
      <c r="L66" s="6" t="s">
        <v>196</v>
      </c>
      <c r="M66" s="6">
        <v>15</v>
      </c>
      <c r="N66" s="6"/>
      <c r="O66" s="6">
        <v>25</v>
      </c>
      <c r="P66" s="7">
        <f t="shared" si="0"/>
        <v>2341.84</v>
      </c>
      <c r="Q66" s="7">
        <f t="shared" ca="1" si="1"/>
        <v>4</v>
      </c>
      <c r="R66">
        <f t="shared" ca="1" si="2"/>
        <v>10000</v>
      </c>
    </row>
    <row r="67" spans="1:18" x14ac:dyDescent="0.15">
      <c r="A67">
        <v>202601</v>
      </c>
      <c r="B67" s="3">
        <v>107044871</v>
      </c>
      <c r="C67" t="s">
        <v>197</v>
      </c>
      <c r="D67">
        <v>1</v>
      </c>
      <c r="E67">
        <v>68714</v>
      </c>
      <c r="F67">
        <v>14384</v>
      </c>
      <c r="G67" s="2">
        <v>20260209</v>
      </c>
      <c r="H67">
        <v>2900056</v>
      </c>
      <c r="I67" t="s">
        <v>22</v>
      </c>
      <c r="J67" t="s">
        <v>23</v>
      </c>
      <c r="K67" t="s">
        <v>195</v>
      </c>
      <c r="L67" s="6" t="s">
        <v>196</v>
      </c>
      <c r="M67" s="6">
        <v>15</v>
      </c>
      <c r="N67" s="6"/>
      <c r="O67" s="6">
        <v>25</v>
      </c>
      <c r="P67" s="7">
        <f t="shared" si="0"/>
        <v>2748.56</v>
      </c>
      <c r="Q67" s="7">
        <f t="shared" ca="1" si="1"/>
        <v>4</v>
      </c>
      <c r="R67">
        <f t="shared" ca="1" si="2"/>
        <v>11000</v>
      </c>
    </row>
    <row r="68" spans="1:18" x14ac:dyDescent="0.15">
      <c r="A68">
        <v>202601</v>
      </c>
      <c r="B68" s="3">
        <v>107046161</v>
      </c>
      <c r="C68" t="s">
        <v>198</v>
      </c>
      <c r="D68">
        <v>2</v>
      </c>
      <c r="E68">
        <v>63887</v>
      </c>
      <c r="F68">
        <v>14384</v>
      </c>
      <c r="G68" s="2">
        <v>20260209</v>
      </c>
      <c r="H68">
        <v>2900056</v>
      </c>
      <c r="I68" t="s">
        <v>22</v>
      </c>
      <c r="J68" t="s">
        <v>23</v>
      </c>
      <c r="K68">
        <v>5155</v>
      </c>
      <c r="L68" s="6" t="s">
        <v>199</v>
      </c>
      <c r="M68" s="6">
        <v>15</v>
      </c>
      <c r="N68" s="6"/>
      <c r="O68" s="6">
        <v>30</v>
      </c>
      <c r="P68" s="7">
        <f t="shared" ref="P68:P90" si="3">E68/O68</f>
        <v>2129.5666666666666</v>
      </c>
      <c r="Q68" s="7">
        <f t="shared" ref="Q68:Q90" ca="1" si="4">ABS(DATE(LEFT(G68,4),MID(G68,5,2),RIGHT(G68,2))-$A$1)</f>
        <v>4</v>
      </c>
      <c r="R68">
        <f t="shared" ref="R68:R90" ca="1" si="5">ROUNDUP((P68*Q68),-3)</f>
        <v>9000</v>
      </c>
    </row>
    <row r="69" spans="1:18" x14ac:dyDescent="0.15">
      <c r="A69">
        <v>202601</v>
      </c>
      <c r="B69" s="3">
        <v>107066264</v>
      </c>
      <c r="C69" t="s">
        <v>200</v>
      </c>
      <c r="D69">
        <v>2</v>
      </c>
      <c r="E69">
        <v>19352</v>
      </c>
      <c r="F69">
        <v>14384</v>
      </c>
      <c r="G69" s="2">
        <v>20260205</v>
      </c>
      <c r="H69">
        <v>2990101</v>
      </c>
      <c r="I69" t="s">
        <v>22</v>
      </c>
      <c r="J69" t="s">
        <v>23</v>
      </c>
      <c r="K69" t="s">
        <v>201</v>
      </c>
      <c r="L69" s="6" t="s">
        <v>202</v>
      </c>
      <c r="M69" s="6">
        <v>15</v>
      </c>
      <c r="N69" s="6"/>
      <c r="O69" s="6">
        <v>25</v>
      </c>
      <c r="P69" s="7">
        <f t="shared" si="3"/>
        <v>774.08</v>
      </c>
      <c r="Q69" s="7">
        <f t="shared" ca="1" si="4"/>
        <v>8</v>
      </c>
      <c r="R69">
        <f t="shared" ca="1" si="5"/>
        <v>7000</v>
      </c>
    </row>
    <row r="70" spans="1:18" x14ac:dyDescent="0.15">
      <c r="A70">
        <v>202601</v>
      </c>
      <c r="B70" s="3">
        <v>107076919</v>
      </c>
      <c r="C70" t="s">
        <v>203</v>
      </c>
      <c r="D70">
        <v>2</v>
      </c>
      <c r="E70">
        <v>13345</v>
      </c>
      <c r="F70">
        <v>14384</v>
      </c>
      <c r="G70" s="2">
        <v>20260122</v>
      </c>
      <c r="H70">
        <v>2900058</v>
      </c>
      <c r="I70" t="s">
        <v>22</v>
      </c>
      <c r="J70" t="s">
        <v>23</v>
      </c>
      <c r="K70" t="s">
        <v>176</v>
      </c>
      <c r="L70" s="6" t="s">
        <v>51</v>
      </c>
      <c r="M70" s="6">
        <v>15</v>
      </c>
      <c r="N70" s="6"/>
      <c r="O70" s="6">
        <v>25</v>
      </c>
      <c r="P70" s="7">
        <f t="shared" si="3"/>
        <v>533.79999999999995</v>
      </c>
      <c r="Q70" s="7">
        <f t="shared" ca="1" si="4"/>
        <v>22</v>
      </c>
      <c r="R70">
        <f t="shared" ca="1" si="5"/>
        <v>12000</v>
      </c>
    </row>
    <row r="71" spans="1:18" x14ac:dyDescent="0.15">
      <c r="A71">
        <v>202601</v>
      </c>
      <c r="B71" s="3">
        <v>107103446</v>
      </c>
      <c r="C71" t="s">
        <v>204</v>
      </c>
      <c r="D71">
        <v>2</v>
      </c>
      <c r="E71">
        <v>40447</v>
      </c>
      <c r="F71">
        <v>14384</v>
      </c>
      <c r="G71" s="2">
        <v>20260130</v>
      </c>
      <c r="H71">
        <v>2908558</v>
      </c>
      <c r="I71" t="s">
        <v>22</v>
      </c>
      <c r="J71" t="s">
        <v>23</v>
      </c>
      <c r="K71" t="s">
        <v>205</v>
      </c>
      <c r="L71" s="6" t="s">
        <v>206</v>
      </c>
      <c r="M71" s="6">
        <v>15</v>
      </c>
      <c r="N71" s="6"/>
      <c r="O71" s="6">
        <v>25</v>
      </c>
      <c r="P71" s="7">
        <f t="shared" si="3"/>
        <v>1617.88</v>
      </c>
      <c r="Q71" s="7">
        <f t="shared" ca="1" si="4"/>
        <v>14</v>
      </c>
      <c r="R71">
        <f t="shared" ca="1" si="5"/>
        <v>23000</v>
      </c>
    </row>
    <row r="72" spans="1:18" x14ac:dyDescent="0.15">
      <c r="A72">
        <v>202601</v>
      </c>
      <c r="B72" s="3">
        <v>434900185</v>
      </c>
      <c r="C72" t="s">
        <v>207</v>
      </c>
      <c r="D72">
        <v>2</v>
      </c>
      <c r="E72">
        <v>20623</v>
      </c>
      <c r="F72">
        <v>14384</v>
      </c>
      <c r="G72" s="2">
        <v>20260128</v>
      </c>
      <c r="H72">
        <v>2900024</v>
      </c>
      <c r="I72" t="s">
        <v>22</v>
      </c>
      <c r="J72" t="s">
        <v>23</v>
      </c>
      <c r="K72" t="s">
        <v>208</v>
      </c>
      <c r="L72" s="6" t="s">
        <v>209</v>
      </c>
      <c r="M72" s="6">
        <v>15</v>
      </c>
      <c r="N72" s="6"/>
      <c r="O72" s="6">
        <v>30</v>
      </c>
      <c r="P72" s="7">
        <f t="shared" si="3"/>
        <v>687.43333333333328</v>
      </c>
      <c r="Q72" s="7">
        <f t="shared" ca="1" si="4"/>
        <v>16</v>
      </c>
      <c r="R72">
        <f t="shared" ca="1" si="5"/>
        <v>11000</v>
      </c>
    </row>
    <row r="73" spans="1:18" x14ac:dyDescent="0.15">
      <c r="A73">
        <v>202601</v>
      </c>
      <c r="B73" s="3">
        <v>434900211</v>
      </c>
      <c r="C73" t="s">
        <v>210</v>
      </c>
      <c r="D73">
        <v>2</v>
      </c>
      <c r="E73">
        <v>19582</v>
      </c>
      <c r="F73">
        <v>14384</v>
      </c>
      <c r="G73" s="2">
        <v>20260210</v>
      </c>
      <c r="H73">
        <v>2900066</v>
      </c>
      <c r="I73" t="s">
        <v>22</v>
      </c>
      <c r="J73" t="s">
        <v>23</v>
      </c>
      <c r="K73" t="s">
        <v>211</v>
      </c>
      <c r="L73" s="6" t="s">
        <v>212</v>
      </c>
      <c r="M73" s="6">
        <v>15</v>
      </c>
      <c r="N73" s="6"/>
      <c r="O73" s="6">
        <v>25</v>
      </c>
      <c r="P73" s="7">
        <f t="shared" si="3"/>
        <v>783.28</v>
      </c>
      <c r="Q73" s="7">
        <f t="shared" ca="1" si="4"/>
        <v>3</v>
      </c>
      <c r="R73">
        <f t="shared" ca="1" si="5"/>
        <v>3000</v>
      </c>
    </row>
    <row r="74" spans="1:18" x14ac:dyDescent="0.15">
      <c r="A74">
        <v>202601</v>
      </c>
      <c r="B74" s="3">
        <v>434900413</v>
      </c>
      <c r="C74" t="s">
        <v>213</v>
      </c>
      <c r="D74">
        <v>2</v>
      </c>
      <c r="E74">
        <v>21531</v>
      </c>
      <c r="F74">
        <v>14384</v>
      </c>
      <c r="G74" s="2">
        <v>20260130</v>
      </c>
      <c r="H74">
        <v>2900067</v>
      </c>
      <c r="I74" t="s">
        <v>22</v>
      </c>
      <c r="J74" t="s">
        <v>23</v>
      </c>
      <c r="K74" t="s">
        <v>214</v>
      </c>
      <c r="L74" s="6" t="s">
        <v>48</v>
      </c>
      <c r="M74" s="6">
        <v>15</v>
      </c>
      <c r="N74" s="6"/>
      <c r="O74" s="6">
        <v>25</v>
      </c>
      <c r="P74" s="7">
        <f t="shared" si="3"/>
        <v>861.24</v>
      </c>
      <c r="Q74" s="7">
        <f t="shared" ca="1" si="4"/>
        <v>14</v>
      </c>
      <c r="R74">
        <f t="shared" ca="1" si="5"/>
        <v>13000</v>
      </c>
    </row>
    <row r="75" spans="1:18" x14ac:dyDescent="0.15">
      <c r="A75">
        <v>202601</v>
      </c>
      <c r="B75" s="3">
        <v>434901044</v>
      </c>
      <c r="C75" t="s">
        <v>215</v>
      </c>
      <c r="D75">
        <v>2</v>
      </c>
      <c r="E75">
        <v>28365</v>
      </c>
      <c r="F75">
        <v>14384</v>
      </c>
      <c r="G75" s="2">
        <v>20260210</v>
      </c>
      <c r="H75">
        <v>2900041</v>
      </c>
      <c r="I75" t="s">
        <v>22</v>
      </c>
      <c r="J75" t="s">
        <v>23</v>
      </c>
      <c r="K75" t="s">
        <v>216</v>
      </c>
      <c r="L75" s="6" t="s">
        <v>217</v>
      </c>
      <c r="M75" s="6">
        <v>15</v>
      </c>
      <c r="N75" s="6"/>
      <c r="O75" s="6">
        <v>25</v>
      </c>
      <c r="P75" s="7">
        <f t="shared" si="3"/>
        <v>1134.5999999999999</v>
      </c>
      <c r="Q75" s="7">
        <f t="shared" ca="1" si="4"/>
        <v>3</v>
      </c>
      <c r="R75">
        <f t="shared" ca="1" si="5"/>
        <v>4000</v>
      </c>
    </row>
    <row r="76" spans="1:18" x14ac:dyDescent="0.15">
      <c r="A76">
        <v>202601</v>
      </c>
      <c r="B76" s="3">
        <v>434901145</v>
      </c>
      <c r="C76" t="s">
        <v>218</v>
      </c>
      <c r="D76">
        <v>2</v>
      </c>
      <c r="E76">
        <v>8482</v>
      </c>
      <c r="F76">
        <v>14384</v>
      </c>
      <c r="G76" s="2">
        <v>20260210</v>
      </c>
      <c r="H76">
        <v>2900059</v>
      </c>
      <c r="I76" t="s">
        <v>22</v>
      </c>
      <c r="J76" t="s">
        <v>23</v>
      </c>
      <c r="K76" t="s">
        <v>219</v>
      </c>
      <c r="L76" s="6" t="s">
        <v>220</v>
      </c>
      <c r="M76" s="6">
        <v>15</v>
      </c>
      <c r="N76" s="6"/>
      <c r="O76" s="6">
        <v>20</v>
      </c>
      <c r="P76" s="7">
        <f t="shared" si="3"/>
        <v>424.1</v>
      </c>
      <c r="Q76" s="7">
        <f t="shared" ca="1" si="4"/>
        <v>3</v>
      </c>
      <c r="R76">
        <f t="shared" ca="1" si="5"/>
        <v>2000</v>
      </c>
    </row>
    <row r="77" spans="1:18" x14ac:dyDescent="0.15">
      <c r="A77">
        <v>202601</v>
      </c>
      <c r="B77" s="3">
        <v>434901221</v>
      </c>
      <c r="C77" t="s">
        <v>221</v>
      </c>
      <c r="D77">
        <v>2</v>
      </c>
      <c r="E77">
        <v>20691</v>
      </c>
      <c r="F77">
        <v>14384</v>
      </c>
      <c r="G77" s="2">
        <v>20260129</v>
      </c>
      <c r="H77">
        <v>2900036</v>
      </c>
      <c r="I77" t="s">
        <v>22</v>
      </c>
      <c r="J77" t="s">
        <v>23</v>
      </c>
      <c r="K77" t="s">
        <v>222</v>
      </c>
      <c r="L77" s="6" t="s">
        <v>223</v>
      </c>
      <c r="M77" s="6">
        <v>15</v>
      </c>
      <c r="N77" s="6"/>
      <c r="O77" s="6">
        <v>25</v>
      </c>
      <c r="P77" s="7">
        <f t="shared" si="3"/>
        <v>827.64</v>
      </c>
      <c r="Q77" s="7">
        <f t="shared" ca="1" si="4"/>
        <v>15</v>
      </c>
      <c r="R77">
        <f t="shared" ca="1" si="5"/>
        <v>13000</v>
      </c>
    </row>
    <row r="78" spans="1:18" x14ac:dyDescent="0.15">
      <c r="A78">
        <v>202601</v>
      </c>
      <c r="B78" s="3">
        <v>434901524</v>
      </c>
      <c r="C78" t="s">
        <v>224</v>
      </c>
      <c r="D78">
        <v>2</v>
      </c>
      <c r="E78">
        <v>31145</v>
      </c>
      <c r="F78">
        <v>14384</v>
      </c>
      <c r="G78" s="2">
        <v>20260204</v>
      </c>
      <c r="H78">
        <v>2900059</v>
      </c>
      <c r="I78" t="s">
        <v>22</v>
      </c>
      <c r="J78" t="s">
        <v>23</v>
      </c>
      <c r="K78" t="s">
        <v>96</v>
      </c>
      <c r="L78" s="6" t="s">
        <v>97</v>
      </c>
      <c r="M78" s="6">
        <v>15</v>
      </c>
      <c r="N78" s="6"/>
      <c r="O78" s="6">
        <v>25</v>
      </c>
      <c r="P78" s="7">
        <f t="shared" si="3"/>
        <v>1245.8</v>
      </c>
      <c r="Q78" s="7">
        <f t="shared" ca="1" si="4"/>
        <v>9</v>
      </c>
      <c r="R78">
        <f t="shared" ca="1" si="5"/>
        <v>12000</v>
      </c>
    </row>
    <row r="79" spans="1:18" x14ac:dyDescent="0.15">
      <c r="A79">
        <v>202601</v>
      </c>
      <c r="B79" s="3">
        <v>434901564</v>
      </c>
      <c r="C79" t="s">
        <v>225</v>
      </c>
      <c r="D79">
        <v>2</v>
      </c>
      <c r="E79">
        <v>34879</v>
      </c>
      <c r="F79">
        <v>14384</v>
      </c>
      <c r="G79" s="2">
        <v>20260202</v>
      </c>
      <c r="H79">
        <v>2900067</v>
      </c>
      <c r="I79" t="s">
        <v>22</v>
      </c>
      <c r="J79" t="s">
        <v>23</v>
      </c>
      <c r="K79" t="s">
        <v>226</v>
      </c>
      <c r="L79" s="6" t="s">
        <v>227</v>
      </c>
      <c r="M79" s="6">
        <v>15</v>
      </c>
      <c r="N79" s="6"/>
      <c r="O79" s="6">
        <v>25</v>
      </c>
      <c r="P79" s="7">
        <f t="shared" si="3"/>
        <v>1395.16</v>
      </c>
      <c r="Q79" s="7">
        <f t="shared" ca="1" si="4"/>
        <v>11</v>
      </c>
      <c r="R79">
        <f t="shared" ca="1" si="5"/>
        <v>16000</v>
      </c>
    </row>
    <row r="80" spans="1:18" x14ac:dyDescent="0.15">
      <c r="A80">
        <v>202601</v>
      </c>
      <c r="B80" s="3">
        <v>434901576</v>
      </c>
      <c r="C80" t="s">
        <v>228</v>
      </c>
      <c r="D80">
        <v>2</v>
      </c>
      <c r="E80">
        <v>27027</v>
      </c>
      <c r="F80">
        <v>14384</v>
      </c>
      <c r="G80" s="2">
        <v>20260205</v>
      </c>
      <c r="H80">
        <v>2990101</v>
      </c>
      <c r="I80" t="s">
        <v>22</v>
      </c>
      <c r="J80" t="s">
        <v>23</v>
      </c>
      <c r="K80" t="s">
        <v>229</v>
      </c>
      <c r="L80" s="6" t="s">
        <v>230</v>
      </c>
      <c r="M80" s="6">
        <v>15</v>
      </c>
      <c r="N80" s="6"/>
      <c r="O80" s="6">
        <v>25</v>
      </c>
      <c r="P80" s="7">
        <f t="shared" si="3"/>
        <v>1081.08</v>
      </c>
      <c r="Q80" s="7">
        <f t="shared" ca="1" si="4"/>
        <v>8</v>
      </c>
      <c r="R80">
        <f t="shared" ca="1" si="5"/>
        <v>9000</v>
      </c>
    </row>
    <row r="81" spans="1:18" x14ac:dyDescent="0.15">
      <c r="A81">
        <v>202601</v>
      </c>
      <c r="B81" s="3">
        <v>434902036</v>
      </c>
      <c r="C81" t="s">
        <v>231</v>
      </c>
      <c r="D81">
        <v>2</v>
      </c>
      <c r="E81">
        <v>20911</v>
      </c>
      <c r="F81">
        <v>14384</v>
      </c>
      <c r="G81" s="2">
        <v>20260203</v>
      </c>
      <c r="H81">
        <v>2900059</v>
      </c>
      <c r="I81" t="s">
        <v>22</v>
      </c>
      <c r="J81" t="s">
        <v>23</v>
      </c>
      <c r="K81" t="s">
        <v>232</v>
      </c>
      <c r="L81" s="6" t="s">
        <v>233</v>
      </c>
      <c r="M81" s="6">
        <v>15</v>
      </c>
      <c r="N81" s="6"/>
      <c r="O81" s="6">
        <v>30</v>
      </c>
      <c r="P81" s="7">
        <f t="shared" si="3"/>
        <v>697.0333333333333</v>
      </c>
      <c r="Q81" s="7">
        <f t="shared" ca="1" si="4"/>
        <v>10</v>
      </c>
      <c r="R81">
        <f t="shared" ca="1" si="5"/>
        <v>7000</v>
      </c>
    </row>
    <row r="82" spans="1:18" x14ac:dyDescent="0.15">
      <c r="A82">
        <v>202601</v>
      </c>
      <c r="B82" s="3">
        <v>434902189</v>
      </c>
      <c r="C82" t="s">
        <v>234</v>
      </c>
      <c r="D82">
        <v>2</v>
      </c>
      <c r="E82">
        <v>18866</v>
      </c>
      <c r="F82">
        <v>14384</v>
      </c>
      <c r="G82" s="2">
        <v>20260202</v>
      </c>
      <c r="H82">
        <v>2900057</v>
      </c>
      <c r="I82" t="s">
        <v>22</v>
      </c>
      <c r="J82" t="s">
        <v>23</v>
      </c>
      <c r="K82" t="s">
        <v>235</v>
      </c>
      <c r="L82" s="6" t="s">
        <v>236</v>
      </c>
      <c r="M82" s="6">
        <v>15</v>
      </c>
      <c r="N82" s="6"/>
      <c r="O82" s="6">
        <v>30</v>
      </c>
      <c r="P82" s="7">
        <f t="shared" si="3"/>
        <v>628.86666666666667</v>
      </c>
      <c r="Q82" s="7">
        <f t="shared" ca="1" si="4"/>
        <v>11</v>
      </c>
      <c r="R82">
        <f t="shared" ca="1" si="5"/>
        <v>7000</v>
      </c>
    </row>
    <row r="83" spans="1:18" x14ac:dyDescent="0.15">
      <c r="A83">
        <v>202601</v>
      </c>
      <c r="B83" s="3">
        <v>434902232</v>
      </c>
      <c r="C83" t="s">
        <v>237</v>
      </c>
      <c r="D83">
        <v>2</v>
      </c>
      <c r="E83">
        <v>33144</v>
      </c>
      <c r="F83">
        <v>14384</v>
      </c>
      <c r="G83" s="2">
        <v>20260210</v>
      </c>
      <c r="H83">
        <v>2900037</v>
      </c>
      <c r="I83" t="s">
        <v>22</v>
      </c>
      <c r="J83" t="s">
        <v>23</v>
      </c>
      <c r="K83" t="s">
        <v>238</v>
      </c>
      <c r="L83" s="6" t="s">
        <v>239</v>
      </c>
      <c r="M83" s="6">
        <v>15</v>
      </c>
      <c r="N83" s="6"/>
      <c r="O83" s="6">
        <v>30</v>
      </c>
      <c r="P83" s="7">
        <f t="shared" si="3"/>
        <v>1104.8</v>
      </c>
      <c r="Q83" s="7">
        <f t="shared" ca="1" si="4"/>
        <v>3</v>
      </c>
      <c r="R83">
        <f t="shared" ca="1" si="5"/>
        <v>4000</v>
      </c>
    </row>
    <row r="84" spans="1:18" x14ac:dyDescent="0.15">
      <c r="A84">
        <v>202601</v>
      </c>
      <c r="B84" s="3">
        <v>434902283</v>
      </c>
      <c r="C84" t="s">
        <v>240</v>
      </c>
      <c r="D84">
        <v>2</v>
      </c>
      <c r="E84">
        <v>38076</v>
      </c>
      <c r="F84">
        <v>14384</v>
      </c>
      <c r="G84" s="2">
        <v>20260127</v>
      </c>
      <c r="H84">
        <v>2908610</v>
      </c>
      <c r="I84" t="s">
        <v>22</v>
      </c>
      <c r="J84" t="s">
        <v>23</v>
      </c>
      <c r="K84" t="s">
        <v>181</v>
      </c>
      <c r="L84" s="6" t="s">
        <v>182</v>
      </c>
      <c r="M84" s="6">
        <v>15</v>
      </c>
      <c r="N84" s="6" t="s">
        <v>121</v>
      </c>
      <c r="O84" s="6">
        <v>20</v>
      </c>
      <c r="P84" s="7">
        <f t="shared" si="3"/>
        <v>1903.8</v>
      </c>
      <c r="Q84" s="7">
        <f t="shared" ca="1" si="4"/>
        <v>17</v>
      </c>
      <c r="R84">
        <f t="shared" ca="1" si="5"/>
        <v>33000</v>
      </c>
    </row>
    <row r="85" spans="1:18" x14ac:dyDescent="0.15">
      <c r="A85">
        <v>202601</v>
      </c>
      <c r="B85" s="3">
        <v>434902307</v>
      </c>
      <c r="C85" t="s">
        <v>241</v>
      </c>
      <c r="D85">
        <v>2</v>
      </c>
      <c r="E85">
        <v>29235</v>
      </c>
      <c r="F85">
        <v>14384</v>
      </c>
      <c r="G85" s="2">
        <v>20260204</v>
      </c>
      <c r="H85">
        <v>2900059</v>
      </c>
      <c r="I85" t="s">
        <v>22</v>
      </c>
      <c r="J85" t="s">
        <v>23</v>
      </c>
      <c r="K85" t="s">
        <v>242</v>
      </c>
      <c r="L85" s="6" t="s">
        <v>243</v>
      </c>
      <c r="M85" s="6">
        <v>15</v>
      </c>
      <c r="N85" s="6"/>
      <c r="O85" s="6">
        <v>30</v>
      </c>
      <c r="P85" s="7">
        <f t="shared" si="3"/>
        <v>974.5</v>
      </c>
      <c r="Q85" s="7">
        <f t="shared" ca="1" si="4"/>
        <v>9</v>
      </c>
      <c r="R85">
        <f t="shared" ca="1" si="5"/>
        <v>9000</v>
      </c>
    </row>
    <row r="86" spans="1:18" x14ac:dyDescent="0.15">
      <c r="A86">
        <v>202601</v>
      </c>
      <c r="B86" s="3">
        <v>434902370</v>
      </c>
      <c r="C86" t="s">
        <v>244</v>
      </c>
      <c r="D86">
        <v>2</v>
      </c>
      <c r="E86">
        <v>10649</v>
      </c>
      <c r="F86">
        <v>14384</v>
      </c>
      <c r="G86" s="2">
        <v>20260205</v>
      </c>
      <c r="H86">
        <v>2990101</v>
      </c>
      <c r="I86" t="s">
        <v>22</v>
      </c>
      <c r="J86" t="s">
        <v>23</v>
      </c>
      <c r="K86" t="s">
        <v>245</v>
      </c>
      <c r="L86" s="6" t="s">
        <v>246</v>
      </c>
      <c r="M86" s="6">
        <v>15</v>
      </c>
      <c r="N86" s="6"/>
      <c r="O86" s="6">
        <v>25</v>
      </c>
      <c r="P86" s="7">
        <f t="shared" si="3"/>
        <v>425.96</v>
      </c>
      <c r="Q86" s="7">
        <f t="shared" ca="1" si="4"/>
        <v>8</v>
      </c>
      <c r="R86">
        <f t="shared" ca="1" si="5"/>
        <v>4000</v>
      </c>
    </row>
    <row r="87" spans="1:18" x14ac:dyDescent="0.15">
      <c r="A87">
        <v>202601</v>
      </c>
      <c r="B87" s="3">
        <v>434902374</v>
      </c>
      <c r="C87" t="s">
        <v>247</v>
      </c>
      <c r="D87">
        <v>2</v>
      </c>
      <c r="E87">
        <v>20007</v>
      </c>
      <c r="F87">
        <v>14384</v>
      </c>
      <c r="G87" s="2">
        <v>20260129</v>
      </c>
      <c r="H87">
        <v>2990059</v>
      </c>
      <c r="I87" t="s">
        <v>22</v>
      </c>
      <c r="J87" t="s">
        <v>23</v>
      </c>
      <c r="K87" t="s">
        <v>248</v>
      </c>
      <c r="L87" s="6" t="s">
        <v>249</v>
      </c>
      <c r="M87" s="6">
        <v>15</v>
      </c>
      <c r="N87" s="6"/>
      <c r="O87" s="6">
        <v>25</v>
      </c>
      <c r="P87" s="7">
        <f t="shared" si="3"/>
        <v>800.28</v>
      </c>
      <c r="Q87" s="7">
        <f t="shared" ca="1" si="4"/>
        <v>15</v>
      </c>
      <c r="R87">
        <f t="shared" ca="1" si="5"/>
        <v>13000</v>
      </c>
    </row>
    <row r="88" spans="1:18" x14ac:dyDescent="0.15">
      <c r="A88">
        <v>202601</v>
      </c>
      <c r="B88" s="3">
        <v>434902381</v>
      </c>
      <c r="C88" t="s">
        <v>250</v>
      </c>
      <c r="D88">
        <v>2</v>
      </c>
      <c r="E88">
        <v>55497</v>
      </c>
      <c r="F88">
        <v>14384</v>
      </c>
      <c r="G88" s="2">
        <v>20260205</v>
      </c>
      <c r="H88">
        <v>2990101</v>
      </c>
      <c r="I88" t="s">
        <v>22</v>
      </c>
      <c r="J88" t="s">
        <v>23</v>
      </c>
      <c r="K88" t="s">
        <v>251</v>
      </c>
      <c r="L88" s="6" t="s">
        <v>252</v>
      </c>
      <c r="M88" s="6">
        <v>15</v>
      </c>
      <c r="N88" s="6"/>
      <c r="O88" s="6">
        <v>25</v>
      </c>
      <c r="P88" s="7">
        <f t="shared" si="3"/>
        <v>2219.88</v>
      </c>
      <c r="Q88" s="7">
        <f t="shared" ca="1" si="4"/>
        <v>8</v>
      </c>
      <c r="R88">
        <f t="shared" ca="1" si="5"/>
        <v>18000</v>
      </c>
    </row>
    <row r="89" spans="1:18" x14ac:dyDescent="0.15">
      <c r="A89">
        <v>202601</v>
      </c>
      <c r="B89" s="3">
        <v>434902593</v>
      </c>
      <c r="C89" t="s">
        <v>253</v>
      </c>
      <c r="D89">
        <v>2</v>
      </c>
      <c r="E89">
        <v>40906</v>
      </c>
      <c r="F89">
        <v>14384</v>
      </c>
      <c r="G89" s="2">
        <v>20260206</v>
      </c>
      <c r="H89">
        <v>2900058</v>
      </c>
      <c r="I89" t="s">
        <v>22</v>
      </c>
      <c r="J89" t="s">
        <v>23</v>
      </c>
      <c r="K89" t="s">
        <v>205</v>
      </c>
      <c r="L89" s="6" t="s">
        <v>206</v>
      </c>
      <c r="M89" s="6">
        <v>15</v>
      </c>
      <c r="N89" s="6"/>
      <c r="O89" s="6">
        <v>25</v>
      </c>
      <c r="P89" s="7">
        <f t="shared" si="3"/>
        <v>1636.24</v>
      </c>
      <c r="Q89" s="7">
        <f t="shared" ca="1" si="4"/>
        <v>7</v>
      </c>
      <c r="R89">
        <f t="shared" ca="1" si="5"/>
        <v>12000</v>
      </c>
    </row>
    <row r="90" spans="1:18" x14ac:dyDescent="0.15">
      <c r="A90">
        <v>202601</v>
      </c>
      <c r="B90" s="3">
        <v>434902596</v>
      </c>
      <c r="C90" t="s">
        <v>254</v>
      </c>
      <c r="D90">
        <v>2</v>
      </c>
      <c r="E90">
        <v>58498</v>
      </c>
      <c r="F90">
        <v>14384</v>
      </c>
      <c r="G90" s="2">
        <v>20260206</v>
      </c>
      <c r="H90">
        <v>2900058</v>
      </c>
      <c r="I90" t="s">
        <v>22</v>
      </c>
      <c r="J90" t="s">
        <v>23</v>
      </c>
      <c r="K90" t="s">
        <v>205</v>
      </c>
      <c r="L90" s="6" t="s">
        <v>206</v>
      </c>
      <c r="M90" s="6">
        <v>15</v>
      </c>
      <c r="N90" s="6"/>
      <c r="O90" s="6">
        <v>25</v>
      </c>
      <c r="P90" s="7">
        <f t="shared" si="3"/>
        <v>2339.92</v>
      </c>
      <c r="Q90" s="7">
        <f t="shared" ca="1" si="4"/>
        <v>7</v>
      </c>
      <c r="R90">
        <f t="shared" ca="1" si="5"/>
        <v>17000</v>
      </c>
    </row>
  </sheetData>
  <phoneticPr fontId="2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貼り付け先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西巻 正美 伊藤園</dc:creator>
  <cp:lastModifiedBy>西巻 正美 伊藤園</cp:lastModifiedBy>
  <dcterms:created xsi:type="dcterms:W3CDTF">2026-02-13T02:49:52Z</dcterms:created>
  <dcterms:modified xsi:type="dcterms:W3CDTF">2026-02-13T02:50:40Z</dcterms:modified>
</cp:coreProperties>
</file>